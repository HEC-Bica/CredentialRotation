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CredentialRotation\rollout\"/>
    </mc:Choice>
  </mc:AlternateContent>
  <xr:revisionPtr revIDLastSave="0" documentId="13_ncr:1_{55FBB583-5A1C-40B7-9031-FB9521E0F3A1}" xr6:coauthVersionLast="47" xr6:coauthVersionMax="47" xr10:uidLastSave="{00000000-0000-0000-0000-000000000000}"/>
  <bookViews>
    <workbookView xWindow="-38510" yWindow="-110" windowWidth="38620" windowHeight="21820" xr2:uid="{765F4662-C255-4EA1-BA4F-115233B8536B}"/>
  </bookViews>
  <sheets>
    <sheet name="rollout" sheetId="2" r:id="rId1"/>
    <sheet name="USG1000_alt" sheetId="4" r:id="rId2"/>
    <sheet name="USG1000_neu" sheetId="5" r:id="rId3"/>
    <sheet name="VpnConnections_Ipam_20261007_10" sheetId="1" r:id="rId4"/>
    <sheet name="netbox_sites_20261007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2" l="1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C23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D23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E23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F23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9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24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0" i="2"/>
  <c r="D2" i="2"/>
  <c r="D3" i="2"/>
  <c r="D4" i="2"/>
  <c r="D5" i="2"/>
  <c r="D6" i="2"/>
  <c r="D7" i="2"/>
  <c r="D8" i="2"/>
  <c r="D11" i="2"/>
  <c r="D12" i="2"/>
  <c r="D13" i="2"/>
  <c r="D14" i="2"/>
  <c r="D15" i="2"/>
  <c r="D16" i="2"/>
  <c r="D17" i="2"/>
  <c r="D18" i="2"/>
  <c r="D19" i="2"/>
  <c r="D20" i="2"/>
  <c r="D21" i="2"/>
  <c r="D22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9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24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0" i="2"/>
  <c r="C2" i="2"/>
  <c r="C3" i="2"/>
  <c r="C4" i="2"/>
  <c r="C5" i="2"/>
  <c r="C6" i="2"/>
  <c r="C7" i="2"/>
  <c r="C8" i="2"/>
  <c r="C11" i="2"/>
  <c r="C12" i="2"/>
  <c r="C13" i="2"/>
  <c r="C14" i="2"/>
  <c r="C15" i="2"/>
  <c r="C16" i="2"/>
  <c r="C17" i="2"/>
  <c r="C18" i="2"/>
  <c r="C19" i="2"/>
  <c r="C20" i="2"/>
  <c r="C21" i="2"/>
  <c r="C22" i="2"/>
  <c r="E83" i="2"/>
  <c r="E58" i="2"/>
  <c r="E69" i="2"/>
  <c r="E84" i="2"/>
  <c r="E85" i="2"/>
  <c r="E66" i="2"/>
  <c r="E63" i="2"/>
  <c r="E65" i="2"/>
  <c r="E86" i="2"/>
  <c r="E87" i="2"/>
  <c r="E77" i="2"/>
  <c r="E88" i="2"/>
  <c r="E89" i="2"/>
  <c r="E64" i="2"/>
  <c r="E78" i="2"/>
  <c r="E79" i="2"/>
  <c r="E90" i="2"/>
  <c r="E91" i="2"/>
  <c r="E59" i="2"/>
  <c r="E55" i="2"/>
  <c r="E92" i="2"/>
  <c r="E56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51" i="2"/>
  <c r="E107" i="2"/>
  <c r="E108" i="2"/>
  <c r="E109" i="2"/>
  <c r="E110" i="2"/>
  <c r="E111" i="2"/>
  <c r="E112" i="2"/>
  <c r="E113" i="2"/>
  <c r="E114" i="2"/>
  <c r="E62" i="2"/>
  <c r="E115" i="2"/>
  <c r="E116" i="2"/>
  <c r="E117" i="2"/>
  <c r="E118" i="2"/>
  <c r="E119" i="2"/>
  <c r="E120" i="2"/>
  <c r="E121" i="2"/>
  <c r="E122" i="2"/>
  <c r="E123" i="2"/>
  <c r="E52" i="2"/>
  <c r="E124" i="2"/>
  <c r="E70" i="2"/>
  <c r="E125" i="2"/>
  <c r="E126" i="2"/>
  <c r="E82" i="2"/>
  <c r="E127" i="2"/>
  <c r="E128" i="2"/>
  <c r="E9" i="2"/>
  <c r="E71" i="2"/>
  <c r="E129" i="2"/>
  <c r="E130" i="2"/>
  <c r="E131" i="2"/>
  <c r="E132" i="2"/>
  <c r="E54" i="2"/>
  <c r="E133" i="2"/>
  <c r="E134" i="2"/>
  <c r="E135" i="2"/>
  <c r="E136" i="2"/>
  <c r="E137" i="2"/>
  <c r="E138" i="2"/>
  <c r="E139" i="2"/>
  <c r="E44" i="2"/>
  <c r="E45" i="2"/>
  <c r="E46" i="2"/>
  <c r="E140" i="2"/>
  <c r="E48" i="2"/>
  <c r="E141" i="2"/>
  <c r="E142" i="2"/>
  <c r="E143" i="2"/>
  <c r="E24" i="2"/>
  <c r="E144" i="2"/>
  <c r="E145" i="2"/>
  <c r="E146" i="2"/>
  <c r="E147" i="2"/>
  <c r="E148" i="2"/>
  <c r="E149" i="2"/>
  <c r="E150" i="2"/>
  <c r="E151" i="2"/>
  <c r="E80" i="2"/>
  <c r="E76" i="2"/>
  <c r="E67" i="2"/>
  <c r="E152" i="2"/>
  <c r="E153" i="2"/>
  <c r="E154" i="2"/>
  <c r="E155" i="2"/>
  <c r="E53" i="2"/>
  <c r="E57" i="2"/>
  <c r="E156" i="2"/>
  <c r="E157" i="2"/>
  <c r="E10" i="2"/>
  <c r="E2" i="2"/>
  <c r="E3" i="2"/>
  <c r="E4" i="2"/>
  <c r="E5" i="2"/>
  <c r="E6" i="2"/>
  <c r="E7" i="2"/>
  <c r="E8" i="2"/>
  <c r="E72" i="2"/>
  <c r="E73" i="2"/>
  <c r="E11" i="2"/>
  <c r="E74" i="2"/>
  <c r="E61" i="2"/>
  <c r="E12" i="2"/>
  <c r="E13" i="2"/>
  <c r="E14" i="2"/>
  <c r="E75" i="2"/>
  <c r="E15" i="2"/>
  <c r="E68" i="2"/>
  <c r="E16" i="2"/>
  <c r="E17" i="2"/>
  <c r="E18" i="2"/>
  <c r="E47" i="2"/>
  <c r="E19" i="2"/>
  <c r="E60" i="2"/>
  <c r="E81" i="2"/>
  <c r="E20" i="2"/>
  <c r="E21" i="2"/>
  <c r="E49" i="2"/>
  <c r="E22" i="2"/>
  <c r="E50" i="2"/>
  <c r="F83" i="2"/>
  <c r="F58" i="2"/>
  <c r="F69" i="2"/>
  <c r="F84" i="2"/>
  <c r="F85" i="2"/>
  <c r="F66" i="2"/>
  <c r="F63" i="2"/>
  <c r="F65" i="2"/>
  <c r="F86" i="2"/>
  <c r="F87" i="2"/>
  <c r="F77" i="2"/>
  <c r="F88" i="2"/>
  <c r="F89" i="2"/>
  <c r="F64" i="2"/>
  <c r="F78" i="2"/>
  <c r="F79" i="2"/>
  <c r="F90" i="2"/>
  <c r="F91" i="2"/>
  <c r="F59" i="2"/>
  <c r="F55" i="2"/>
  <c r="F92" i="2"/>
  <c r="F56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51" i="2"/>
  <c r="F107" i="2"/>
  <c r="F108" i="2"/>
  <c r="F109" i="2"/>
  <c r="F110" i="2"/>
  <c r="F111" i="2"/>
  <c r="F112" i="2"/>
  <c r="F113" i="2"/>
  <c r="F114" i="2"/>
  <c r="F62" i="2"/>
  <c r="F115" i="2"/>
  <c r="F116" i="2"/>
  <c r="F117" i="2"/>
  <c r="F118" i="2"/>
  <c r="F119" i="2"/>
  <c r="F120" i="2"/>
  <c r="F121" i="2"/>
  <c r="F122" i="2"/>
  <c r="F123" i="2"/>
  <c r="F52" i="2"/>
  <c r="F124" i="2"/>
  <c r="F70" i="2"/>
  <c r="F125" i="2"/>
  <c r="F126" i="2"/>
  <c r="F82" i="2"/>
  <c r="F127" i="2"/>
  <c r="F128" i="2"/>
  <c r="F9" i="2"/>
  <c r="F71" i="2"/>
  <c r="F129" i="2"/>
  <c r="F130" i="2"/>
  <c r="F131" i="2"/>
  <c r="F132" i="2"/>
  <c r="F54" i="2"/>
  <c r="F133" i="2"/>
  <c r="F134" i="2"/>
  <c r="F135" i="2"/>
  <c r="F136" i="2"/>
  <c r="F137" i="2"/>
  <c r="F138" i="2"/>
  <c r="F139" i="2"/>
  <c r="F43" i="2"/>
  <c r="F44" i="2"/>
  <c r="F45" i="2"/>
  <c r="F46" i="2"/>
  <c r="F140" i="2"/>
  <c r="F48" i="2"/>
  <c r="F141" i="2"/>
  <c r="F142" i="2"/>
  <c r="F143" i="2"/>
  <c r="F24" i="2"/>
  <c r="F144" i="2"/>
  <c r="F145" i="2"/>
  <c r="F146" i="2"/>
  <c r="F147" i="2"/>
  <c r="F148" i="2"/>
  <c r="F149" i="2"/>
  <c r="F150" i="2"/>
  <c r="F151" i="2"/>
  <c r="F80" i="2"/>
  <c r="F76" i="2"/>
  <c r="F67" i="2"/>
  <c r="F152" i="2"/>
  <c r="F153" i="2"/>
  <c r="F154" i="2"/>
  <c r="F155" i="2"/>
  <c r="F53" i="2"/>
  <c r="F57" i="2"/>
  <c r="F156" i="2"/>
  <c r="F157" i="2"/>
  <c r="F10" i="2"/>
  <c r="F2" i="2"/>
  <c r="F3" i="2"/>
  <c r="F4" i="2"/>
  <c r="F5" i="2"/>
  <c r="F6" i="2"/>
  <c r="F7" i="2"/>
  <c r="F8" i="2"/>
  <c r="F72" i="2"/>
  <c r="F73" i="2"/>
  <c r="F11" i="2"/>
  <c r="F74" i="2"/>
  <c r="F61" i="2"/>
  <c r="F12" i="2"/>
  <c r="F13" i="2"/>
  <c r="F14" i="2"/>
  <c r="F75" i="2"/>
  <c r="F15" i="2"/>
  <c r="F68" i="2"/>
  <c r="F16" i="2"/>
  <c r="F17" i="2"/>
  <c r="F18" i="2"/>
  <c r="F47" i="2"/>
  <c r="F19" i="2"/>
  <c r="F60" i="2"/>
  <c r="F81" i="2"/>
  <c r="F20" i="2"/>
  <c r="F21" i="2"/>
  <c r="F49" i="2"/>
  <c r="F22" i="2"/>
  <c r="F50" i="2"/>
  <c r="B83" i="2"/>
  <c r="B58" i="2"/>
  <c r="B69" i="2"/>
  <c r="B84" i="2"/>
  <c r="B85" i="2"/>
  <c r="B66" i="2"/>
  <c r="B63" i="2"/>
  <c r="B65" i="2"/>
  <c r="B86" i="2"/>
  <c r="B87" i="2"/>
  <c r="B77" i="2"/>
  <c r="B88" i="2"/>
  <c r="B89" i="2"/>
  <c r="B64" i="2"/>
  <c r="B78" i="2"/>
  <c r="B79" i="2"/>
  <c r="B90" i="2"/>
  <c r="B91" i="2"/>
  <c r="B59" i="2"/>
  <c r="B55" i="2"/>
  <c r="B92" i="2"/>
  <c r="B56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51" i="2"/>
  <c r="B107" i="2"/>
  <c r="B108" i="2"/>
  <c r="B109" i="2"/>
  <c r="B110" i="2"/>
  <c r="B111" i="2"/>
  <c r="B112" i="2"/>
  <c r="B113" i="2"/>
  <c r="B114" i="2"/>
  <c r="B62" i="2"/>
  <c r="B115" i="2"/>
  <c r="B116" i="2"/>
  <c r="B117" i="2"/>
  <c r="B118" i="2"/>
  <c r="B119" i="2"/>
  <c r="B120" i="2"/>
  <c r="B121" i="2"/>
  <c r="B122" i="2"/>
  <c r="B123" i="2"/>
  <c r="B52" i="2"/>
  <c r="B124" i="2"/>
  <c r="B70" i="2"/>
  <c r="B125" i="2"/>
  <c r="B126" i="2"/>
  <c r="B82" i="2"/>
  <c r="B127" i="2"/>
  <c r="B128" i="2"/>
  <c r="B9" i="2"/>
  <c r="B71" i="2"/>
  <c r="B129" i="2"/>
  <c r="B130" i="2"/>
  <c r="B131" i="2"/>
  <c r="B132" i="2"/>
  <c r="B54" i="2"/>
  <c r="B133" i="2"/>
  <c r="B134" i="2"/>
  <c r="B135" i="2"/>
  <c r="B136" i="2"/>
  <c r="B137" i="2"/>
  <c r="B138" i="2"/>
  <c r="B139" i="2"/>
  <c r="B43" i="2"/>
  <c r="B44" i="2"/>
  <c r="B45" i="2"/>
  <c r="B46" i="2"/>
  <c r="B140" i="2"/>
  <c r="B48" i="2"/>
  <c r="B141" i="2"/>
  <c r="B142" i="2"/>
  <c r="B143" i="2"/>
  <c r="B24" i="2"/>
  <c r="B144" i="2"/>
  <c r="B145" i="2"/>
  <c r="B146" i="2"/>
  <c r="B147" i="2"/>
  <c r="B148" i="2"/>
  <c r="B149" i="2"/>
  <c r="B150" i="2"/>
  <c r="B151" i="2"/>
  <c r="B80" i="2"/>
  <c r="B76" i="2"/>
  <c r="B67" i="2"/>
  <c r="B152" i="2"/>
  <c r="B153" i="2"/>
  <c r="B154" i="2"/>
  <c r="B155" i="2"/>
  <c r="B53" i="2"/>
  <c r="B57" i="2"/>
  <c r="B156" i="2"/>
  <c r="B157" i="2"/>
  <c r="B10" i="2"/>
  <c r="B2" i="2"/>
  <c r="B3" i="2"/>
  <c r="B4" i="2"/>
  <c r="B5" i="2"/>
  <c r="B6" i="2"/>
  <c r="B7" i="2"/>
  <c r="B8" i="2"/>
  <c r="B72" i="2"/>
  <c r="B73" i="2"/>
  <c r="B11" i="2"/>
  <c r="B74" i="2"/>
  <c r="B61" i="2"/>
  <c r="B12" i="2"/>
  <c r="B13" i="2"/>
  <c r="B14" i="2"/>
  <c r="B75" i="2"/>
  <c r="B15" i="2"/>
  <c r="B68" i="2"/>
  <c r="B16" i="2"/>
  <c r="B17" i="2"/>
  <c r="B18" i="2"/>
  <c r="B47" i="2"/>
  <c r="B19" i="2"/>
  <c r="B60" i="2"/>
  <c r="B81" i="2"/>
  <c r="B20" i="2"/>
  <c r="B21" i="2"/>
  <c r="B49" i="2"/>
  <c r="B22" i="2"/>
  <c r="B50" i="2"/>
  <c r="C43" i="2" l="1"/>
  <c r="D43" i="2"/>
  <c r="E43" i="2"/>
</calcChain>
</file>

<file path=xl/sharedStrings.xml><?xml version="1.0" encoding="utf-8"?>
<sst xmlns="http://schemas.openxmlformats.org/spreadsheetml/2006/main" count="14684" uniqueCount="4938">
  <si>
    <t>Connection</t>
  </si>
  <si>
    <t>JobNumber</t>
  </si>
  <si>
    <t>AzurePrefix</t>
  </si>
  <si>
    <t>IpamPrefix</t>
  </si>
  <si>
    <t>IpamSite</t>
  </si>
  <si>
    <t>SiteUrl</t>
  </si>
  <si>
    <t>Status</t>
  </si>
  <si>
    <t>Connection-BiCA_Rothenburg</t>
  </si>
  <si>
    <t>192.168.147.0/24, 192.168.139.16/28, 192.168.210.0/24, 192.168.131.128/26, 192.168.138.0/28, 10.32.31.0/24</t>
  </si>
  <si>
    <t>No job number in name</t>
  </si>
  <si>
    <t>Connection-Employee-ROD</t>
  </si>
  <si>
    <t>192.168.30.0/24</t>
  </si>
  <si>
    <t>Connection-102797</t>
  </si>
  <si>
    <t>10.33.50.0/24</t>
  </si>
  <si>
    <t>Sebastian Müller AG - Bohler 5 - 6221 Rickenbach LU - 102797</t>
  </si>
  <si>
    <t>https://ipam.lantzerath-group.com/dcim/sites/2470/</t>
  </si>
  <si>
    <t>OK</t>
  </si>
  <si>
    <t>Connection-Gioia-104392</t>
  </si>
  <si>
    <t>10.34.127.0/24</t>
  </si>
  <si>
    <t>Gioia - Strada Cantonale 3 - 6989 Purasca - 104392</t>
  </si>
  <si>
    <t>https://ipam.lantzerath-group.com/dcim/sites/3387/</t>
  </si>
  <si>
    <t>Connection-BiCA_Fertigung</t>
  </si>
  <si>
    <t>192.168.166.0/24, 10.34.251.0/24</t>
  </si>
  <si>
    <t>Connection-Marsens-104390</t>
  </si>
  <si>
    <t>10.34.125.0/24</t>
  </si>
  <si>
    <t>Réseau fribourgeois de santé mental - Centre de soins hospitaliers - 1633 Marsens - 104390</t>
  </si>
  <si>
    <t>https://ipam.lantzerath-group.com/dcim/sites/3382/</t>
  </si>
  <si>
    <t>Connection-MeyerRigiGarage-101243</t>
  </si>
  <si>
    <t>10.32.141.0/24</t>
  </si>
  <si>
    <t>Meyer Rigi-Garage GmbH - Oberdorfstrasse 27 - 6403 Küssnacht - 101243</t>
  </si>
  <si>
    <t>https://ipam.lantzerath-group.com/dcim/sites/2255/</t>
  </si>
  <si>
    <t>Connection-VonArxSA-104104</t>
  </si>
  <si>
    <t>10.33.183.0/24</t>
  </si>
  <si>
    <t>Von Arx SA - Rue des Chansons 37 - 2034 Peseux - 104104</t>
  </si>
  <si>
    <t>https://ipam.lantzerath-group.com/dcim/sites/2611/</t>
  </si>
  <si>
    <t>Connection-Post.Villmergen.104218</t>
  </si>
  <si>
    <t>10.33.212.0/24</t>
  </si>
  <si>
    <t>Post Tankstelle - Nordstrasse / Allmendstrasse - 5612 Villmergen - 104218</t>
  </si>
  <si>
    <t>https://ipam.lantzerath-group.com/dcim/sites/2619/</t>
  </si>
  <si>
    <t>Connection-Midland-103899</t>
  </si>
  <si>
    <t>10.33.21.0/24</t>
  </si>
  <si>
    <t>Midland Tankstelle - Quellmattstrasse 2 - 5035 Unterentfelden - 103899</t>
  </si>
  <si>
    <t>https://ipam.lantzerath-group.com/dcim/sites/2585/</t>
  </si>
  <si>
    <t>Connection-Mundin-104402</t>
  </si>
  <si>
    <t>10.34.128.0/24</t>
  </si>
  <si>
    <t>Mundin Tankstelle - Talstrasse 85 - 7563 Samnaun -Dorf 10 - 104402</t>
  </si>
  <si>
    <t>https://ipam.lantzerath-group.com/dcim/sites/3460/</t>
  </si>
  <si>
    <t>Connection-GarageFaes-103313</t>
  </si>
  <si>
    <t>10.32.16.0/24</t>
  </si>
  <si>
    <t>Garage Faes AG - Kirchenfeldstrasse 6 - 5727 Oberkulm - 103313</t>
  </si>
  <si>
    <t>https://ipam.lantzerath-group.com/dcim/sites/2517/</t>
  </si>
  <si>
    <t>Connection-TestanlageJF-666666</t>
  </si>
  <si>
    <t>10.34.129.0/26</t>
  </si>
  <si>
    <t>Rothenburg Testanlage - JF - 666666</t>
  </si>
  <si>
    <t>https://ipam.lantzerath-group.com/dcim/sites/3464/</t>
  </si>
  <si>
    <t>Connection-RheintalOst-101054</t>
  </si>
  <si>
    <t>10.32.186.0/24, 10.32.192.0/24</t>
  </si>
  <si>
    <t>10.32.186.0/24</t>
  </si>
  <si>
    <t>Raststätte Rheintal Ost - Postfach - 9470 Buchs SG - 101054</t>
  </si>
  <si>
    <t>https://ipam.lantzerath-group.com/dcim/sites/1843/</t>
  </si>
  <si>
    <t>Prefix mismatch</t>
  </si>
  <si>
    <t>Connection-SonneRossrueti-103757</t>
  </si>
  <si>
    <t>10.32.62.0/24</t>
  </si>
  <si>
    <t>Tankstelle Sonne Rossrüti - Konstanzerstrasse 17 - 9512 Rossrüti - 103757</t>
  </si>
  <si>
    <t>https://ipam.lantzerath-group.com/dcim/sites/2564/</t>
  </si>
  <si>
    <t>Connection-RothKuehltransporte-104397</t>
  </si>
  <si>
    <t>10.34.130.0/24</t>
  </si>
  <si>
    <t>Roth Kühltransporte GmbH - Austrasse 9 - 9650 Nesslau - 104397</t>
  </si>
  <si>
    <t>https://ipam.lantzerath-group.com/dcim/sites/3453/</t>
  </si>
  <si>
    <t>Connection-Abrantix-103318</t>
  </si>
  <si>
    <t>10.34.131.0/24</t>
  </si>
  <si>
    <t>CiRRUS Test - Abrantix - Förrlibuckstrasse 66 - 8805 Zürich - 103318</t>
  </si>
  <si>
    <t>https://ipam.lantzerath-group.com/dcim/sites/1501/</t>
  </si>
  <si>
    <t>Connection-Green.Tepnet-000000</t>
  </si>
  <si>
    <t>172.16.0.0/24</t>
  </si>
  <si>
    <t>Multiple sites in IPAM</t>
  </si>
  <si>
    <t>Connection-Green.HOS-000000</t>
  </si>
  <si>
    <t>172.16.1.0/24</t>
  </si>
  <si>
    <t>Connection-ThurauNord-101056</t>
  </si>
  <si>
    <t>10.32.188.0/24, 10.32.189.0/24</t>
  </si>
  <si>
    <t>10.32.188.0/24</t>
  </si>
  <si>
    <t>Raststätte Thurau AG Nord - Postfach 275 - 9501 Wil SG - 101056</t>
  </si>
  <si>
    <t>https://ipam.lantzerath-group.com/dcim/sites/1845/</t>
  </si>
  <si>
    <t>Connection-WalenseeSued-102726</t>
  </si>
  <si>
    <t>10.32.190.0/24</t>
  </si>
  <si>
    <t>Raststätte Walensee Süd AG - Bergsboden - 8882 Unterterzen - 102726</t>
  </si>
  <si>
    <t>https://ipam.lantzerath-group.com/dcim/sites/1846/</t>
  </si>
  <si>
    <t>Connection-GarageAbegglen-101803</t>
  </si>
  <si>
    <t>10.32.123.0/24</t>
  </si>
  <si>
    <t>Garage Abegglen - Hauptstrasse 243 - 3855 Brienz BE - 101803</t>
  </si>
  <si>
    <t>https://ipam.lantzerath-group.com/dcim/sites/2290/</t>
  </si>
  <si>
    <t>Connection-Winarco-000000</t>
  </si>
  <si>
    <t>192.168.111.0/24, 10.115.12.0/25</t>
  </si>
  <si>
    <t>Connection-LogosSE-000000</t>
  </si>
  <si>
    <t>192.168.10.0/24</t>
  </si>
  <si>
    <t>Connection-StationDuCropt-101620</t>
  </si>
  <si>
    <t>10.33.54.0/24</t>
  </si>
  <si>
    <t>Station du Cropt SA - Rue du Cropt 8 - 1880 Bex - 101620</t>
  </si>
  <si>
    <t>https://ipam.lantzerath-group.com/dcim/sites/2270/</t>
  </si>
  <si>
    <t>Connection-Gioia.Stabio-104260</t>
  </si>
  <si>
    <t>10.33.244.0/24</t>
  </si>
  <si>
    <t>Gioia Combustibili SA - Via Gaggiolo 22 - 6855 Stabio - 104260</t>
  </si>
  <si>
    <t>https://ipam.lantzerath-group.com/dcim/sites/2631/</t>
  </si>
  <si>
    <t>Connection-DorfkioskEschi-104408</t>
  </si>
  <si>
    <t>10.34.132.0/24</t>
  </si>
  <si>
    <t>Dorfkiosk Eschi GmbH - Dorfstrasse 17 - 8733 Eschenbach - 104408</t>
  </si>
  <si>
    <t>https://ipam.lantzerath-group.com/dcim/sites/3482/</t>
  </si>
  <si>
    <t>Connection-SparManagementAG-000000</t>
  </si>
  <si>
    <t>10.229.1.0/28</t>
  </si>
  <si>
    <t>Connection-SpeschaGarage-101757</t>
  </si>
  <si>
    <t>10.33.43.0/24</t>
  </si>
  <si>
    <t>Spescha Garage AG - Via San Clau Sura 35 - 7130 Ilanz - 101757</t>
  </si>
  <si>
    <t>https://ipam.lantzerath-group.com/dcim/sites/2285/</t>
  </si>
  <si>
    <t>Connection-GarageElite-103648</t>
  </si>
  <si>
    <t>10.32.3.0/24</t>
  </si>
  <si>
    <t>Connection-GarageCarrosserieRuefenacht-101083</t>
  </si>
  <si>
    <t>10.32.138.0/24</t>
  </si>
  <si>
    <t>Garage + Carrosserie Rüfenacht AG - Murtenstrasse 2-8 - Mühleberg - 101083</t>
  </si>
  <si>
    <t>https://ipam.lantzerath-group.com/dcim/sites/2235/</t>
  </si>
  <si>
    <t>Connection-AutoMirer-103628</t>
  </si>
  <si>
    <t>10.32.105.0/24</t>
  </si>
  <si>
    <t>Auto Mirer AG - Affeier 91 - 7134 Obersaxen - 103628</t>
  </si>
  <si>
    <t>https://ipam.lantzerath-group.com/dcim/sites/2552/</t>
  </si>
  <si>
    <t>Connection-BussetStation-103649</t>
  </si>
  <si>
    <t>10.32.32.0/24</t>
  </si>
  <si>
    <t>Busset Station Sàrl - Route du Pillon 26 - 1864 Vers-l'Eglise - 103649</t>
  </si>
  <si>
    <t>https://ipam.lantzerath-group.com/dcim/sites/2555/</t>
  </si>
  <si>
    <t>Connection-TankstelleDHuebscher-101963</t>
  </si>
  <si>
    <t>10.33.16.0/24</t>
  </si>
  <si>
    <t>FS-Tankstelle D. Hübscher - Alte Bahnhofstrasse 9 - 5610 Wohlen AG - 101963</t>
  </si>
  <si>
    <t>https://ipam.lantzerath-group.com/dcim/sites/2333/</t>
  </si>
  <si>
    <t>Connection-GarageBuehler-101929</t>
  </si>
  <si>
    <t>10.32.108.0/24</t>
  </si>
  <si>
    <t>Garage Bühler - Lenkstrasse 81 - 3772 St. Stephan - 101929</t>
  </si>
  <si>
    <t>https://ipam.lantzerath-group.com/dcim/sites/2324/</t>
  </si>
  <si>
    <t>Connection-Lebet-101024</t>
  </si>
  <si>
    <t>10.33.144.0/24</t>
  </si>
  <si>
    <t>Lebet - Route de Genevrex 1 - 1071 Chexbres - 101024</t>
  </si>
  <si>
    <t>https://ipam.lantzerath-group.com/dcim/sites/2231/</t>
  </si>
  <si>
    <t>Connection-TankstelleSchneiderRoggwil-102283</t>
  </si>
  <si>
    <t>10.32.131.0/24</t>
  </si>
  <si>
    <t>Tankstelle Schneider - Hintergasse 1 - 4914 Roggwil BE - 102283</t>
  </si>
  <si>
    <t>https://ipam.lantzerath-group.com/dcim/sites/2380/</t>
  </si>
  <si>
    <t>Connection-ViaAeroportoGordola-103197</t>
  </si>
  <si>
    <t>10.33.207.0/24</t>
  </si>
  <si>
    <t>Direzione Aeroporto Cantonale di Locarno - Via Aeroporto 26 - 6596 Gordola - 103197</t>
  </si>
  <si>
    <t>https://ipam.lantzerath-group.com/dcim/sites/2502/</t>
  </si>
  <si>
    <t>Connection-ReistMotorengeraete-102613</t>
  </si>
  <si>
    <t>10.32.86.0/24</t>
  </si>
  <si>
    <t>Reist Motorengeräte - Müntschemiergasse 30 - 3232 Ins - 102613</t>
  </si>
  <si>
    <t>https://ipam.lantzerath-group.com/dcim/sites/2433/</t>
  </si>
  <si>
    <t>Connection-StationPizAul-104095</t>
  </si>
  <si>
    <t>10.33.169.0/24</t>
  </si>
  <si>
    <t>Piz Aul Garage - Station Piz Aul - 7132 Vals - 104095</t>
  </si>
  <si>
    <t>https://ipam.lantzerath-group.com/dcim/sites/2609/</t>
  </si>
  <si>
    <t>Connection-StationTherme-104096</t>
  </si>
  <si>
    <t>10.33.170.0/24</t>
  </si>
  <si>
    <t>Piz Aul Garage - Station Therme - 7132 Vals - 104096</t>
  </si>
  <si>
    <t>https://ipam.lantzerath-group.com/dcim/sites/2610/</t>
  </si>
  <si>
    <t>Connection-GarageNiederbergerWollerauHauptstrasse-102479</t>
  </si>
  <si>
    <t>10.32.84.0/24</t>
  </si>
  <si>
    <t>Garage Niederberger AG - Hauptstrasse 58 - Wollerau -  102479</t>
  </si>
  <si>
    <t>https://ipam.lantzerath-group.com/dcim/sites/2412/</t>
  </si>
  <si>
    <t>Connection-GarageNiederbergerWollerauRoosstrasse-103100</t>
  </si>
  <si>
    <t>10.32.85.0/24</t>
  </si>
  <si>
    <t>Garage Niederberger AG - Roosstrasse 20 - 8832 Wollerau - 103100</t>
  </si>
  <si>
    <t>https://ipam.lantzerath-group.com/dcim/sites/2490/</t>
  </si>
  <si>
    <t>Connection-GarageSolidoroCarrosserie-103999</t>
  </si>
  <si>
    <t>10.33.99.0/24</t>
  </si>
  <si>
    <t>Auto-Garage Solidoro &amp; Carrosserie - Zürcherstrasse 73 - 8800 Thalwil - 103999</t>
  </si>
  <si>
    <t>https://ipam.lantzerath-group.com/dcim/sites/2597/</t>
  </si>
  <si>
    <t>Connection-Operations-107777</t>
  </si>
  <si>
    <t>10.32.199.0/24</t>
  </si>
  <si>
    <t>Operations Test Site Rothenburg - 107777</t>
  </si>
  <si>
    <t>https://ipam.lantzerath-group.com/dcim/sites/3497/</t>
  </si>
  <si>
    <t>Connection-CoffeeTimeOnnens-103106</t>
  </si>
  <si>
    <t>10.32.154.0/24</t>
  </si>
  <si>
    <t>Coffee Time - Grand'Rue 3 - 1425 Onnens VD - 103106</t>
  </si>
  <si>
    <t>https://ipam.lantzerath-group.com/dcim/sites/2492/</t>
  </si>
  <si>
    <t>Connection-BurgHolzmaetteliTankstellenBernstrasse-101855</t>
  </si>
  <si>
    <t>10.32.153.0/24</t>
  </si>
  <si>
    <t>Burg &amp; Holzmätteli Tankstellen AG - Bernstrasse 47 - 3613 Steffisburg - 101855</t>
  </si>
  <si>
    <t>https://ipam.lantzerath-group.com/dcim/sites/2302/</t>
  </si>
  <si>
    <t>Connection-BurgHolzmaetteliTankstellenBurgstrasse-101858</t>
  </si>
  <si>
    <t>10.32.152.0/24</t>
  </si>
  <si>
    <t>Burg &amp; Holzmätteli Tankstellen AG - Burgstrasse 18 - 3600 Thun - 101858</t>
  </si>
  <si>
    <t>https://ipam.lantzerath-group.com/dcim/sites/2305/</t>
  </si>
  <si>
    <t>Connection-BurgHolzmaetteliTankstellenStaatsstrasse-101856</t>
  </si>
  <si>
    <t>10.32.151.0/24</t>
  </si>
  <si>
    <t>Burg &amp; Holzmätteli Tankstellen  AG - Staatsstrasse 170 - 3626 Hünibach - 101856</t>
  </si>
  <si>
    <t>https://ipam.lantzerath-group.com/dcim/sites/2303/</t>
  </si>
  <si>
    <t>Connection-GemeindeAversCresta-101891</t>
  </si>
  <si>
    <t>10.33.209.0/24</t>
  </si>
  <si>
    <t>Gemeinde Avers - Cresta 107 - 7447 Cresta (Avers) - 101891</t>
  </si>
  <si>
    <t>https://ipam.lantzerath-group.com/dcim/sites/2312/</t>
  </si>
  <si>
    <t>Connection-TankstelleBierigutPfandernstrasse-101857</t>
  </si>
  <si>
    <t>10.32.150.0/24</t>
  </si>
  <si>
    <t>Tankstelle Bierigut - Pfandernstrasse 1a - 3608 Thun - 101857</t>
  </si>
  <si>
    <t>https://ipam.lantzerath-group.com/dcim/sites/2304/</t>
  </si>
  <si>
    <t>Connection-BellevueGarageLuzernerstrasse-101202</t>
  </si>
  <si>
    <t>10.32.35.0/24</t>
  </si>
  <si>
    <t>Bellevue-Garage - Luzernerstrasse 11 - 5642 Mühlau - 101202</t>
  </si>
  <si>
    <t>https://ipam.lantzerath-group.com/dcim/sites/2250/</t>
  </si>
  <si>
    <t>Connection-BellevueGarageZuercherstrasse-102080</t>
  </si>
  <si>
    <t>10.32.11.0/24</t>
  </si>
  <si>
    <t>Bellevue-Garage - Zürcherstrasse 45 - 8908 Hedingen - 102080</t>
  </si>
  <si>
    <t>https://ipam.lantzerath-group.com/dcim/sites/2348/</t>
  </si>
  <si>
    <t>Connection-MarioEdithVonArxDorfstrasse-104026</t>
  </si>
  <si>
    <t>10.33.131.0/24</t>
  </si>
  <si>
    <t>Mario + Edith von Arx - Dorfstrasse 178 - 4623 Neuendorf - 104026</t>
  </si>
  <si>
    <t>https://ipam.lantzerath-group.com/dcim/sites/2604/</t>
  </si>
  <si>
    <t>Connection-NiccaAg-101133</t>
  </si>
  <si>
    <t>10.33.51.0/24</t>
  </si>
  <si>
    <t>Nicca AG - Wuhrstrasse 1 - 7435 Splügen - 101133</t>
  </si>
  <si>
    <t>https://ipam.lantzerath-group.com/dcim/sites/2242/</t>
  </si>
  <si>
    <t>Connection-HuerlimannCoHauptstrasse36-104142</t>
  </si>
  <si>
    <t>10.32.170.0/24</t>
  </si>
  <si>
    <t>Hürlimann + CO - Hauptstrasse 36 - 5506 Mägenwil - 104142</t>
  </si>
  <si>
    <t>https://ipam.lantzerath-group.com/dcim/sites/2614/</t>
  </si>
  <si>
    <t>Connection-HerrmannZulliger-103149</t>
  </si>
  <si>
    <t>10.33.86.0/24</t>
  </si>
  <si>
    <t>Herrmann und Zulliger AG - 103149</t>
  </si>
  <si>
    <t>https://ipam.lantzerath-group.com/dcim/sites/2496/</t>
  </si>
  <si>
    <t>Connection-CoopRteDeLaPlaine-101522</t>
  </si>
  <si>
    <t>10.32.9.0/24</t>
  </si>
  <si>
    <t>Coop - Rte de la plaine - 1123 Aclens - 101522</t>
  </si>
  <si>
    <t>https://ipam.lantzerath-group.com/dcim/sites/2266/</t>
  </si>
  <si>
    <t>SuissePetroliSaViaRemoRossi-103088</t>
  </si>
  <si>
    <t>10.33.168.0/24</t>
  </si>
  <si>
    <t>Suisse Petroli SA - Via Remo Rossi 5 - 6864 Arzo - 103088</t>
  </si>
  <si>
    <t>https://ipam.lantzerath-group.com/dcim/sites/2488/</t>
  </si>
  <si>
    <t>Connection-TouringGarageUhligAaruetistrasse-103779</t>
  </si>
  <si>
    <t>10.32.98.0/24</t>
  </si>
  <si>
    <t>Touring-Garage Uhlig AG - Aarütistrasse 4 - 8192 Glattfelden - 103779</t>
  </si>
  <si>
    <t>https://ipam.lantzerath-group.com/dcim/sites/2570/</t>
  </si>
  <si>
    <t>Connection-SteinagRozloch-102115</t>
  </si>
  <si>
    <t>10.33.36.0/24, 10.44.44.0/24</t>
  </si>
  <si>
    <t>10.33.36.0/24</t>
  </si>
  <si>
    <t>STEINAG Rozloch AG - Rotzloch 10 - 6362 Stansstad - 102115</t>
  </si>
  <si>
    <t>https://ipam.lantzerath-group.com/dcim/sites/2350/</t>
  </si>
  <si>
    <t>Connection-ScallArbonerstrasseSalmsach-104008</t>
  </si>
  <si>
    <t>10.33.65.0/24</t>
  </si>
  <si>
    <t>Scall GmbH Arbonerstrasse 17 - 8599 Salmsach - 104008</t>
  </si>
  <si>
    <t>https://ipam.lantzerath-group.com/dcim/sites/2598/</t>
  </si>
  <si>
    <t>Connection-SidlerNottwil-102686</t>
  </si>
  <si>
    <t>10.33.165.0/24</t>
  </si>
  <si>
    <t>Sidler &amp; Co. Nottwil AG - Kantonsstrasse 37 - 6207 Nottwil - 102686</t>
  </si>
  <si>
    <t>https://ipam.lantzerath-group.com/dcim/sites/2443/</t>
  </si>
  <si>
    <t>Connection-BolligerTankenOberkulm-103203</t>
  </si>
  <si>
    <t>10.33.157.0/24</t>
  </si>
  <si>
    <t>Bolliger Tanken GmbH - Dorfstrasse 41 - 5727 Oberkulm - 103203</t>
  </si>
  <si>
    <t>https://ipam.lantzerath-group.com/dcim/sites/2504/</t>
  </si>
  <si>
    <t>Connection-FreieTankstelleBruenigstrasseSachseln-102329</t>
  </si>
  <si>
    <t>10.32.25.0/24</t>
  </si>
  <si>
    <t>Freie Tankstelle - Brünigstrasse 149 - 6072 Sachseln - 102329</t>
  </si>
  <si>
    <t>https://ipam.lantzerath-group.com/dcim/sites/2391/</t>
  </si>
  <si>
    <t>JHuberRengglochstrasseKriensObernau-101898</t>
  </si>
  <si>
    <t>10.33.6.0/24</t>
  </si>
  <si>
    <t>J. Huber AG - Rengglochstrasse 48 - 6012 Kriens-Obernau - 101898</t>
  </si>
  <si>
    <t>https://ipam.lantzerath-group.com/dcim/sites/2314/</t>
  </si>
  <si>
    <t>JHuberNeuenkirchstrasseEmmenbruecke-101897</t>
  </si>
  <si>
    <t>10.33.8.0/24</t>
  </si>
  <si>
    <t>J. Huber AG - Neuenkirchstrasse 26 - 6020 Emmenbrücke - 101897</t>
  </si>
  <si>
    <t>https://ipam.lantzerath-group.com/dcim/sites/2313/</t>
  </si>
  <si>
    <t>JHuberStKarlistrasseLuzern-101899</t>
  </si>
  <si>
    <t>10.33.7.0/24</t>
  </si>
  <si>
    <t>J. Huber AG - St. Karlistrasse 52 - 6003 Luzern - 101899</t>
  </si>
  <si>
    <t>https://ipam.lantzerath-group.com/dcim/sites/2315/</t>
  </si>
  <si>
    <t>Connection-103132</t>
  </si>
  <si>
    <t>10.32.191.0/24</t>
  </si>
  <si>
    <t>Viamala Raststätte - Fürstenauerstrasse 1 - 7430 Thusis - 103132</t>
  </si>
  <si>
    <t>https://ipam.lantzerath-group.com/dcim/sites/2149/</t>
  </si>
  <si>
    <t>Connection-ThyssenKruppPrestaEschen-101193</t>
  </si>
  <si>
    <t>10.32.96.0/24</t>
  </si>
  <si>
    <t>Thyssen Krupp Presta AG - Essanestrasse 10 - 9492 Eschen - 101193</t>
  </si>
  <si>
    <t>https://ipam.lantzerath-group.com/dcim/sites/2249/</t>
  </si>
  <si>
    <t>Connection-SchachengarageAGOberriet-102503</t>
  </si>
  <si>
    <t>10.33.27.0/24</t>
  </si>
  <si>
    <t>Schachengarage AG - Looweg 2 - 9463 Oberriet SG - 102503</t>
  </si>
  <si>
    <t>https://ipam.lantzerath-group.com/dcim/sites/2420/</t>
  </si>
  <si>
    <t>Connection-VescoviPietroLucomagno-103231</t>
  </si>
  <si>
    <t>10.33.17.0/24</t>
  </si>
  <si>
    <t>Vescovi Pietro Sagl - Via Lucomagno 52 - 6718 Olivone - 103231</t>
  </si>
  <si>
    <t>https://ipam.lantzerath-group.com/dcim/sites/2509/</t>
  </si>
  <si>
    <t>Connection-VescoviPietroLucomagno-102439</t>
  </si>
  <si>
    <t>10.33.18.0/24</t>
  </si>
  <si>
    <t>Vescovi Pietro Sagl - Via Lucomagno 5 - 6718 Olivone - 102439</t>
  </si>
  <si>
    <t>https://ipam.lantzerath-group.com/dcim/sites/2405/</t>
  </si>
  <si>
    <t>Connection-BuechliAutomobileLupfig-102452</t>
  </si>
  <si>
    <t>10.32.109.0/24</t>
  </si>
  <si>
    <t>Büchli Automobile - Bahnhofstrasse 2 - 5242 Lupfig - 102452</t>
  </si>
  <si>
    <t>https://ipam.lantzerath-group.com/dcim/sites/2408/</t>
  </si>
  <si>
    <t>HessEichwaldstrasseLuzern-102502</t>
  </si>
  <si>
    <t>10.32.67.0/24</t>
  </si>
  <si>
    <t>Hess - Eichwaldstrasse 39 - 6005 Luzern - 102502</t>
  </si>
  <si>
    <t>https://ipam.lantzerath-group.com/dcim/sites/2419/</t>
  </si>
  <si>
    <t>GarageLutzSarganserstrasseBadRagaz-102353</t>
  </si>
  <si>
    <t>10.33.161.0/24</t>
  </si>
  <si>
    <t>Garage Lutz AG - Sarganserstrasse 14 - 7310 Bad Ragaz - 102353</t>
  </si>
  <si>
    <t>https://ipam.lantzerath-group.com/dcim/sites/2392/</t>
  </si>
  <si>
    <t>GarageLutzSarganserstrasseBadRagaz-102354</t>
  </si>
  <si>
    <t>10.33.160.0/24</t>
  </si>
  <si>
    <t>Garage Lutz AG - Sarganserstrasse 15 - 7310 Bad Ragaz - 102354</t>
  </si>
  <si>
    <t>https://ipam.lantzerath-group.com/dcim/sites/2393/</t>
  </si>
  <si>
    <t>CBauunternehmungParfuggaSchmitten-101095</t>
  </si>
  <si>
    <t>10.33.64.0/24</t>
  </si>
  <si>
    <t>C Bauunternehmung - Parfugga 12 - 7493 Schmitten - 101095</t>
  </si>
  <si>
    <t>https://ipam.lantzerath-group.com/dcim/sites/2238/</t>
  </si>
  <si>
    <t>GarageWueestWillisauerstrasseEttiswil-103895</t>
  </si>
  <si>
    <t>10.32.133.0/24</t>
  </si>
  <si>
    <t>Garage Wüest AG - Willisauerstr. 24 - 6218 Ettiswil - 103895</t>
  </si>
  <si>
    <t>https://ipam.lantzerath-group.com/dcim/sites/2583/</t>
  </si>
  <si>
    <t>GratankGoeslikerstrasseNiederwil-103228</t>
  </si>
  <si>
    <t>10.33.39.0/24</t>
  </si>
  <si>
    <t>Gratank AG - Göslikerstrasse 12 - 5524 Niederwil AG - 103228</t>
  </si>
  <si>
    <t>https://ipam.lantzerath-group.com/dcim/sites/2508/</t>
  </si>
  <si>
    <t>GratankLandstrasseNesselnbach-101737</t>
  </si>
  <si>
    <t>10.33.40.0/24</t>
  </si>
  <si>
    <t>Gratank AG - Landstrasse 10 - 5524 Nesselnbach - 101737</t>
  </si>
  <si>
    <t>https://ipam.lantzerath-group.com/dcim/sites/2282/</t>
  </si>
  <si>
    <t>GarageSchuweyAncienComte-102284</t>
  </si>
  <si>
    <t>10.33.151.0/24</t>
  </si>
  <si>
    <t>Garage Schuwey SA - Ancien Comté 105 - 1635 La Tour-de-Trême - 102284</t>
  </si>
  <si>
    <t>https://ipam.lantzerath-group.com/dcim/sites/2381/</t>
  </si>
  <si>
    <t>10.32.79.0/24</t>
  </si>
  <si>
    <t>Landwirtschaftliche - Rotzenbühlstrasse 3 - 8966 Oberwil-Lieli - 101088</t>
  </si>
  <si>
    <t>https://ipam.lantzerath-group.com/dcim/sites/2237/</t>
  </si>
  <si>
    <t>TANKuTRANK-101837</t>
  </si>
  <si>
    <t>10.32.63.0/24</t>
  </si>
  <si>
    <t>TANK  u. TRANK GmbH - Hauptstrasse 13 - 8265 Mammern - 101837</t>
  </si>
  <si>
    <t>https://ipam.lantzerath-group.com/dcim/sites/2296/</t>
  </si>
  <si>
    <t>Connection-BujLab-000000</t>
  </si>
  <si>
    <t>10.185.0.0/16</t>
  </si>
  <si>
    <t>AutogesellschaftHauptstrasseEptingen-101860</t>
  </si>
  <si>
    <t>10.32.132.0/24</t>
  </si>
  <si>
    <t>Autogesellschaft - Hauptstrasse 11 - 4458 Eptingen - 101860</t>
  </si>
  <si>
    <t>https://ipam.lantzerath-group.com/dcim/sites/2306/</t>
  </si>
  <si>
    <t>104412-BadenDaysShop</t>
  </si>
  <si>
    <t>10.34.134.0/27</t>
  </si>
  <si>
    <t>7 Day-Shop AG - Cordulapassage 1 - 5400 Baden - 104412</t>
  </si>
  <si>
    <t>https://ipam.lantzerath-group.com/dcim/sites/3491/</t>
  </si>
  <si>
    <t>104414-DaysShopNiederdorfstrasse</t>
  </si>
  <si>
    <t>10.34.134.96/27</t>
  </si>
  <si>
    <t>7 Day-Shop AG - Niederdorfstrasse 58 - 8001 Zürich - 104414</t>
  </si>
  <si>
    <t>https://ipam.lantzerath-group.com/dcim/sites/3493/</t>
  </si>
  <si>
    <t>104411-DaysShopRuedenplatz</t>
  </si>
  <si>
    <t>10.34.134.128/27</t>
  </si>
  <si>
    <t>7 Day-Shop AG - Rüdenplatz 1 - 8001 Zürich - 104411</t>
  </si>
  <si>
    <t>https://ipam.lantzerath-group.com/dcim/sites/3490/</t>
  </si>
  <si>
    <t>104410-DaysShopNiederdorfstrasse</t>
  </si>
  <si>
    <t>10.34.134.64/27</t>
  </si>
  <si>
    <t>7 Day-Shop AG - Niederdorfstrasse 11 - 8001 Zürich - 104410</t>
  </si>
  <si>
    <t>https://ipam.lantzerath-group.com/dcim/sites/3489/</t>
  </si>
  <si>
    <t>Connection-CentredelileSARouteduvignobleBoudry-101709</t>
  </si>
  <si>
    <t>10.32.42.0/24</t>
  </si>
  <si>
    <t>Centre de l'ile SA - Route du vignoble 25 - 2017 Boudry - 101709</t>
  </si>
  <si>
    <t>https://ipam.lantzerath-group.com/dcim/sites/2280/</t>
  </si>
  <si>
    <t>ArnoldMuehlebachZuerichstrasseBadZurzach-102056</t>
  </si>
  <si>
    <t>10.33.32.0/24</t>
  </si>
  <si>
    <t>Arnold Mühlebach - Zürichstrasse 15 - 5330 Bad Zurzach - 102056</t>
  </si>
  <si>
    <t>https://ipam.lantzerath-group.com/dcim/sites/2347/</t>
  </si>
  <si>
    <t>BarilSoleViaCantonaleCurio-102629</t>
  </si>
  <si>
    <t>10.32.147.0/24</t>
  </si>
  <si>
    <t>Bar il Sole - Via Cantonale 45 - 6986 Curio - 102629</t>
  </si>
  <si>
    <t>https://ipam.lantzerath-group.com/dcim/sites/2435/</t>
  </si>
  <si>
    <t>StopAndGoDorfgasseSumiswald-103558</t>
  </si>
  <si>
    <t>10.33.240.0/24</t>
  </si>
  <si>
    <t>stop+go - Dorfgasse 9 - 3454 Sumiswald - 103558</t>
  </si>
  <si>
    <t>https://ipam.lantzerath-group.com/dcim/sites/882/</t>
  </si>
  <si>
    <t>103104-GredigCo</t>
  </si>
  <si>
    <t>10.33.213.0/24</t>
  </si>
  <si>
    <t>Gredig &amp; Co. AG - Hofstrasse 9A - 7270 Davos Platz - 103104</t>
  </si>
  <si>
    <t>https://ipam.lantzerath-group.com/dcim/sites/2491/</t>
  </si>
  <si>
    <t>102266-GredigCo</t>
  </si>
  <si>
    <t>10.32.22.0/24</t>
  </si>
  <si>
    <t>Gredig &amp; Co. AG - Guggerbachstrasse 8 - 7270 Davos Platz - 102266</t>
  </si>
  <si>
    <t>https://ipam.lantzerath-group.com/dcim/sites/2375/</t>
  </si>
  <si>
    <t>SuissePetroliSAViaCantonaleMelide-102546</t>
  </si>
  <si>
    <t>10.33.173.0/24</t>
  </si>
  <si>
    <t>Suisse Petroli SA - Via Cantonale 31 - 6815 Melide - 102546</t>
  </si>
  <si>
    <t>https://ipam.lantzerath-group.com/dcim/sites/2423/</t>
  </si>
  <si>
    <t>103233-SportMotelZweisimmen</t>
  </si>
  <si>
    <t>10.33.79.0/24</t>
  </si>
  <si>
    <t>Sport - Motel Zweisimmen AG - Saanenstrasse 15 - 3770 Zweisimmen - 103233</t>
  </si>
  <si>
    <t>https://ipam.lantzerath-group.com/dcim/sites/2510/</t>
  </si>
  <si>
    <t>ShellTankstellePoststrasseSufers-102742</t>
  </si>
  <si>
    <t>10.33.89.0/24</t>
  </si>
  <si>
    <t>Shell Tankstelle - Poststrasse 2 - 7434 Sufers - 102742</t>
  </si>
  <si>
    <t>https://ipam.lantzerath-group.com/dcim/sites/2454/</t>
  </si>
  <si>
    <t>102558-Monosuisse</t>
  </si>
  <si>
    <t>10.32.114.0/24</t>
  </si>
  <si>
    <t>Monosuisse AG - Gerliswilstrasse 19 - 6021 Emmenbrücke 1 - 102558</t>
  </si>
  <si>
    <t>https://ipam.lantzerath-group.com/dcim/sites/2424/</t>
  </si>
  <si>
    <t>RuediStrubGarageUndTankstelleHauptstrasseLaeufelfingen-103356</t>
  </si>
  <si>
    <t>10.33.194.0/24</t>
  </si>
  <si>
    <t>Ruedi Strub - Garage &amp; Tankstelle - Hauptstrasse 1 - 4448 Läufelfingen - 103356</t>
  </si>
  <si>
    <t>https://ipam.lantzerath-group.com/dcim/sites/2521/</t>
  </si>
  <si>
    <t>103811-DorfladenReuenthal</t>
  </si>
  <si>
    <t>10.32.106.0/24</t>
  </si>
  <si>
    <t>Dorfladen Genossenschaft - Hauptstrasse 205 - 5324 Full-Reuenthal - 103811</t>
  </si>
  <si>
    <t>https://ipam.lantzerath-group.com/dcim/sites/2579/</t>
  </si>
  <si>
    <t>Connection-GstaadAirportWest-104232</t>
  </si>
  <si>
    <t>10.33.243.0/24</t>
  </si>
  <si>
    <t>10.33.241.0/24</t>
  </si>
  <si>
    <t>Gstaad Airport (WEST) - Oeystrasse 29 - 3792 Saanen - 104232</t>
  </si>
  <si>
    <t>https://ipam.lantzerath-group.com/dcim/sites/2623/</t>
  </si>
  <si>
    <t>Connection-GstaadAirportOst-104234</t>
  </si>
  <si>
    <t>10.33.242.0/24, 10.33.241.0/24</t>
  </si>
  <si>
    <t>10.33.242.0/24</t>
  </si>
  <si>
    <t>Gstaad Airport (OST) - Oeystrasse 29 - 3792 Saanen - 104234</t>
  </si>
  <si>
    <t>https://ipam.lantzerath-group.com/dcim/sites/2624/</t>
  </si>
  <si>
    <t>TransporteZurbriggenSaastalstrasseSaasGrund-102037</t>
  </si>
  <si>
    <t>10.33.116.0/24</t>
  </si>
  <si>
    <t>Transporte Zurbriggen - Saastalstrasse 312 - 3910 Saas Grund - 102037</t>
  </si>
  <si>
    <t>https://ipam.lantzerath-group.com/dcim/sites/2345/</t>
  </si>
  <si>
    <t>TankstellevonRotzBronschhofen-101273</t>
  </si>
  <si>
    <t>10.32.136.0/24</t>
  </si>
  <si>
    <t>Tankstelle von Rotz AG - Zürcherstrasse 10 - 9552 Bronschhofen - 101273</t>
  </si>
  <si>
    <t>https://ipam.lantzerath-group.com/dcim/sites/2259/</t>
  </si>
  <si>
    <t>RealShopViaTinellePedrinate-104418</t>
  </si>
  <si>
    <t>10.34.136.0/24</t>
  </si>
  <si>
    <t>RealShop - Via Tinelle 20 - 6832 Pedrinate - 104418</t>
  </si>
  <si>
    <t>https://ipam.lantzerath-group.com/dcim/sites/3510/</t>
  </si>
  <si>
    <t>PizolGarageSarganserstrasseMels-102464</t>
  </si>
  <si>
    <t>10.32.111.0/24</t>
  </si>
  <si>
    <t>Pizol-Garage - Sarganserstrasse 78 - 8887 Mels - 102464</t>
  </si>
  <si>
    <t>https://ipam.lantzerath-group.com/dcim/sites/2410/</t>
  </si>
  <si>
    <t>KreuzGarageWillisauEttiswilerstrasse-101673</t>
  </si>
  <si>
    <t>10.33.19.0/24</t>
  </si>
  <si>
    <t>Kreuz-Garage Willisau AG - Ettiswilerstrasse 10 - 6130 Willisau - 101673</t>
  </si>
  <si>
    <t>https://ipam.lantzerath-group.com/dcim/sites/2278/</t>
  </si>
  <si>
    <t>FOHauptstrasseFischingen-103599</t>
  </si>
  <si>
    <t>10.32.78.0/24</t>
  </si>
  <si>
    <t>Franz Obrist AG - Hauptstrasse 36 - 8376 Fischingen - 103599</t>
  </si>
  <si>
    <t>https://ipam.lantzerath-group.com/dcim/sites/2548/</t>
  </si>
  <si>
    <t>GAAhornstrasseEriswil-102778</t>
  </si>
  <si>
    <t>10.33.180.0/24</t>
  </si>
  <si>
    <t>Garage Adam - Ahornstrasse 26 - 4952 Eriswil - 102778</t>
  </si>
  <si>
    <t>https://ipam.lantzerath-group.com/dcim/sites/2465/</t>
  </si>
  <si>
    <t>BenzindiscountVillmergen-104029</t>
  </si>
  <si>
    <t>10.33.98.0/24</t>
  </si>
  <si>
    <t>Büezer Bistro &amp; Tankstelle GmbH - Anglikerstrasse 83 - 5612 Villmergen - 104029</t>
  </si>
  <si>
    <t>https://ipam.lantzerath-group.com/dcim/sites/2605/</t>
  </si>
  <si>
    <t>StationShellGarageMaisonBlanche-102015</t>
  </si>
  <si>
    <t>10.32.60.0/24</t>
  </si>
  <si>
    <t>Garage Maison Blanche- 1284 Chancy - 102015</t>
  </si>
  <si>
    <t>https://ipam.lantzerath-group.com/dcim/sites/2342/</t>
  </si>
  <si>
    <t>ZauggDorfWalterswil-103787</t>
  </si>
  <si>
    <t>10.32.89.0/24</t>
  </si>
  <si>
    <t>Zaugg &amp; Co. - Dorf - 4942 Walterswil - 103787</t>
  </si>
  <si>
    <t>https://ipam.lantzerath-group.com/dcim/sites/2576/</t>
  </si>
  <si>
    <t>GarageCaesarEndingen-102276</t>
  </si>
  <si>
    <t>10.33.91.0/24</t>
  </si>
  <si>
    <t>Garage Cäsar GmbH - Surbtalstrasse 2 - 5304 Endingen - 102276</t>
  </si>
  <si>
    <t>https://ipam.lantzerath-group.com/dcim/sites/2377/</t>
  </si>
  <si>
    <t>Connection-AutoWalserWangs-102212</t>
  </si>
  <si>
    <t>10.32.139.0/24</t>
  </si>
  <si>
    <t>Auto Walser AG - Bahnhofstrasse 56 - Wangs - 102212</t>
  </si>
  <si>
    <t>https://ipam.lantzerath-group.com/dcim/sites/2365/</t>
  </si>
  <si>
    <t>SuissePetroliViaCantonaleMonteggio-103711</t>
  </si>
  <si>
    <t>10.33.172.0/24</t>
  </si>
  <si>
    <t>Suisse Petroli SA - Via Cantonale 130 - 6998 Monteggio - 103711</t>
  </si>
  <si>
    <t>https://ipam.lantzerath-group.com/dcim/sites/2559/</t>
  </si>
  <si>
    <t>KarrosserieKoflerWagenhauserstrasse-101172</t>
  </si>
  <si>
    <t>10.33.100.0/24</t>
  </si>
  <si>
    <t>Karrosserie Kofler AG - Wagenhauserstrasse 37 - 8260 Stein am Rhein - 101172</t>
  </si>
  <si>
    <t>https://ipam.lantzerath-group.com/dcim/sites/2243/</t>
  </si>
  <si>
    <t>CamigaVouvry-101187</t>
  </si>
  <si>
    <t>10.33.48.0/24</t>
  </si>
  <si>
    <t>Camiga SA - Chemin du Grand-Clos 2 - 1896 Vouvry - 101187</t>
  </si>
  <si>
    <t>https://ipam.lantzerath-group.com/dcim/sites/2248/</t>
  </si>
  <si>
    <t>GachnangAutomobiles-102390</t>
  </si>
  <si>
    <t>10.32.145.0/24</t>
  </si>
  <si>
    <t>Gachnang Automobiles - Chemin des Lieugex 4 - 1860 Aigle - 102390</t>
  </si>
  <si>
    <t>https://ipam.lantzerath-group.com/dcim/sites/2399/</t>
  </si>
  <si>
    <t>GaragteBrunLangnau-102036</t>
  </si>
  <si>
    <t>10.32.59.0/24</t>
  </si>
  <si>
    <t>Garage Braun - Bleicheweg 7 - 3550 Langnau i. E. - 102036</t>
  </si>
  <si>
    <t>https://ipam.lantzerath-group.com/dcim/sites/2344/</t>
  </si>
  <si>
    <t>TankstelleLuchsoil-104305</t>
  </si>
  <si>
    <t>10.34.103.0/24</t>
  </si>
  <si>
    <t>Tankstelle Luchsoil - 104305</t>
  </si>
  <si>
    <t>https://ipam.lantzerath-group.com/dcim/sites/2642/</t>
  </si>
  <si>
    <t>KlopfsteinNeueneggstrasseLaupen-102473</t>
  </si>
  <si>
    <t>10.32.99.0/24</t>
  </si>
  <si>
    <t>Klopfstein AG - Neueneggstrasse 10 - 3177 Laupen - 102473</t>
  </si>
  <si>
    <t>https://ipam.lantzerath-group.com/dcim/sites/2411/</t>
  </si>
  <si>
    <t>LandiOeligasseWölflinswil-101917</t>
  </si>
  <si>
    <t>10.33.61.0/24</t>
  </si>
  <si>
    <t>Landi Oberes Fricktal - Oeligasse 94 - 5063 Wölflinswil - 101917</t>
  </si>
  <si>
    <t>https://ipam.lantzerath-group.com/dcim/sites/2320/</t>
  </si>
  <si>
    <t>LandiKirchbachstrasseWittnau-101641</t>
  </si>
  <si>
    <t>10.33.60.0/24</t>
  </si>
  <si>
    <t>Landi Oberes Fricktal - Kirchbachstrasse 6 - 5064 Wittnau - 101641</t>
  </si>
  <si>
    <t>https://ipam.lantzerath-group.com/dcim/sites/2273/</t>
  </si>
  <si>
    <t>GaragedeNendaz-102181</t>
  </si>
  <si>
    <t>10.33.75.0/24</t>
  </si>
  <si>
    <t>Garage de Nendaz - Rue des Ecluses 9 - 1997 Haute-Nendaz - 102181</t>
  </si>
  <si>
    <t>https://ipam.lantzerath-group.com/dcim/sites/2361/</t>
  </si>
  <si>
    <t>SonnelandHauserstrasseWindisch-102677</t>
  </si>
  <si>
    <t>10.33.85.0/24</t>
  </si>
  <si>
    <t>Sonneland AG - Hauserstrasse 40 - 5210 Windisch - 102677</t>
  </si>
  <si>
    <t>https://ipam.lantzerath-group.com/dcim/sites/2441/</t>
  </si>
  <si>
    <t>StationserviceLaMascotte-102263</t>
  </si>
  <si>
    <t>10.32.94.0/24</t>
  </si>
  <si>
    <t>Station - service La Mascotte - Route de la Vallée 7 - 1873 Val d'Illiez - 102263</t>
  </si>
  <si>
    <t>https://ipam.lantzerath-group.com/dcim/sites/2374/</t>
  </si>
  <si>
    <t>LischanaGarage-102795</t>
  </si>
  <si>
    <t>10.33.90.0/24</t>
  </si>
  <si>
    <t>Lischana Garage - Via da la Staziun - 7550 Scuol - 102795</t>
  </si>
  <si>
    <t>https://ipam.lantzerath-group.com/dcim/sites/2468/</t>
  </si>
  <si>
    <t>SeghelinaAuressio-102853</t>
  </si>
  <si>
    <t>10.32.48.0/24</t>
  </si>
  <si>
    <t>Comune di Onsernone - Seghelina 2 - 6661 Auressio - 102853</t>
  </si>
  <si>
    <t>https://ipam.lantzerath-group.com/dcim/sites/2474/</t>
  </si>
  <si>
    <t>HoferCieFrikartstrasseZofingen-102435</t>
  </si>
  <si>
    <t>10.33.154.0/24</t>
  </si>
  <si>
    <t>AG vorm Hofer &amp; Cie. - Frikartstrasse 8 - 4800 Zofingen - 102435</t>
  </si>
  <si>
    <t>https://ipam.lantzerath-group.com/dcim/sites/2403/</t>
  </si>
  <si>
    <t>Connection-LavebaDC-000000</t>
  </si>
  <si>
    <t>10.97.0.0/16, 10.100.0.0/16</t>
  </si>
  <si>
    <t>RSPetrolBern-104337</t>
  </si>
  <si>
    <t>10.34.111.0/24</t>
  </si>
  <si>
    <t>RS Petrol GmbH - Freiburgstrasse 300/310 - 3018 Bern - 104337</t>
  </si>
  <si>
    <t>https://ipam.lantzerath-group.com/dcim/sites/2654/</t>
  </si>
  <si>
    <t>DaetwylerManagementBleienbach-103036</t>
  </si>
  <si>
    <t>10.33.70.0/24</t>
  </si>
  <si>
    <t>Daetwyler Management AG - Flugplatz - 3368 Bleienbach - 103036</t>
  </si>
  <si>
    <t>https://ipam.lantzerath-group.com/dcim/sites/2480/</t>
  </si>
  <si>
    <t>RueegseggerInstAeschau-101931</t>
  </si>
  <si>
    <t>10.32.83.0/24</t>
  </si>
  <si>
    <t>Rüegsegger Installationen AG - Horben 777a - Aeschau - 101931</t>
  </si>
  <si>
    <t>https://ipam.lantzerath-group.com/dcim/sites/2325/</t>
  </si>
  <si>
    <t>JFelberCoOberurnerstrasse-102262</t>
  </si>
  <si>
    <t>10.33.113.0/24</t>
  </si>
  <si>
    <t>J. Felber &amp; Co AG - Oberurnerstrasse 2 - 8752 Näfels - 102262</t>
  </si>
  <si>
    <t>https://ipam.lantzerath-group.com/dcim/sites/2373/</t>
  </si>
  <si>
    <t>RonnerNutzfahrzeugeTuggen-101965</t>
  </si>
  <si>
    <t>10.33.23.0/24</t>
  </si>
  <si>
    <t>Ronner Nutzfahrzeuge AG - St. Gallerstrasse 51 - 8856 Tuggen - 101965</t>
  </si>
  <si>
    <t>https://ipam.lantzerath-group.com/dcim/sites/2334/</t>
  </si>
  <si>
    <t>SettelenBirkenstrasse-101763</t>
  </si>
  <si>
    <t>10.32.38.0/24</t>
  </si>
  <si>
    <t>Settelen AG - Birkenstrasse 5 - 4055 Basel - 101763</t>
  </si>
  <si>
    <t>https://ipam.lantzerath-group.com/dcim/sites/2286/</t>
  </si>
  <si>
    <t>Connection-104489-DaysShopSchifflaende</t>
  </si>
  <si>
    <t>10.34.134.160/27</t>
  </si>
  <si>
    <t>7 Day-Shop AG - Schifflände 26 - 8001 Zürich - 104489</t>
  </si>
  <si>
    <t>https://ipam.lantzerath-group.com/dcim/sites/3534/</t>
  </si>
  <si>
    <t>TankstelleSvabic-103976</t>
  </si>
  <si>
    <t>10.33.143.0/24</t>
  </si>
  <si>
    <t>Z-Oil GmbH - Hauptstrasse 75B- 8362 Balterswil - 103976</t>
  </si>
  <si>
    <t>https://ipam.lantzerath-group.com/dcim/sites/2589/</t>
  </si>
  <si>
    <t>FFMurgenthalstrasse17c-104490</t>
  </si>
  <si>
    <t>10.34.137.0/24</t>
  </si>
  <si>
    <t>Fresh Finish - Murgenthalstrasse 17c - 4900 Langenthal - 104490</t>
  </si>
  <si>
    <t>https://ipam.lantzerath-group.com/dcim/sites/3535/</t>
  </si>
  <si>
    <t>VfABuchs-104419</t>
  </si>
  <si>
    <t>10.34.138.0/24</t>
  </si>
  <si>
    <t>Verein für Abfallentsorgung - Langäulistrasse 24 - 9470 Buchs - 104419</t>
  </si>
  <si>
    <t>https://ipam.lantzerath-group.com/dcim/sites/3514/</t>
  </si>
  <si>
    <t>Pilatus-Ennetbuergenstrasse-102288</t>
  </si>
  <si>
    <t>10.32.142.0/24</t>
  </si>
  <si>
    <t>Pilatus Flugzeugwerke AG - Ennetbürgenstrasse 101 - 6371 Stans - 102288</t>
  </si>
  <si>
    <t>https://ipam.lantzerath-group.com/dcim/sites/2383/</t>
  </si>
  <si>
    <t>AebyTransporteNebenzelg-101125</t>
  </si>
  <si>
    <t>10.33.88.0/24</t>
  </si>
  <si>
    <t>Aeby Transporte AG - Nebenzelg 1 - 1717 St. Ursen - 101125</t>
  </si>
  <si>
    <t>https://ipam.lantzerath-group.com/dcim/sites/2241/</t>
  </si>
  <si>
    <t>BGBahnhofplatz-102054</t>
  </si>
  <si>
    <t>10.32.58.0/24</t>
  </si>
  <si>
    <t>Bahnhof-Garage - Bahnhofplatz 10 - 4806 Wikon - 102054</t>
  </si>
  <si>
    <t>https://ipam.lantzerath-group.com/dcim/sites/2346/</t>
  </si>
  <si>
    <t>XLCHMöbelHubacherRothrist-102162</t>
  </si>
  <si>
    <t>10.32.66.0/24</t>
  </si>
  <si>
    <t>XLCH AG - Möbel Hubacher -  - Rössliweg 43 - 4852 Rothrist - 102162</t>
  </si>
  <si>
    <t>https://ipam.lantzerath-group.com/dcim/sites/2356/</t>
  </si>
  <si>
    <t>Connection-MAJ-Test7</t>
  </si>
  <si>
    <t>10.7.187.0/24</t>
  </si>
  <si>
    <t>Connection-Employee-BUJ</t>
  </si>
  <si>
    <t>192.168.185.0/24</t>
  </si>
  <si>
    <t>BahnhofgarageOberdiessbach-104167</t>
  </si>
  <si>
    <t>10.33.192.0/24</t>
  </si>
  <si>
    <t>Bahnhofgarage Oberdiessbach AG - Bahnhofstrasse 9 - 3672 Oberdiessbach - 104167</t>
  </si>
  <si>
    <t>https://ipam.lantzerath-group.com/dcim/sites/2662/</t>
  </si>
  <si>
    <t>Job-Number</t>
  </si>
  <si>
    <t>ID</t>
  </si>
  <si>
    <t>Tenant</t>
  </si>
  <si>
    <t>Name</t>
  </si>
  <si>
    <t>External-ID</t>
  </si>
  <si>
    <t>BiCA-ERP-NR</t>
  </si>
  <si>
    <t>CiRRUS-Status</t>
  </si>
  <si>
    <t>CiRRUS-Business-Site-ID</t>
  </si>
  <si>
    <t>CiRRUS-Cluster-Site-ID</t>
  </si>
  <si>
    <t>Tags</t>
  </si>
  <si>
    <t>Language</t>
  </si>
  <si>
    <t>CiRRUS-Site-Name</t>
  </si>
  <si>
    <t>Retired</t>
  </si>
  <si>
    <t>AVIA</t>
  </si>
  <si>
    <t>Nyffeler (301 912) - 101195</t>
  </si>
  <si>
    <t>Emil Werder AG (301 954) - 101233</t>
  </si>
  <si>
    <t>Bellikon 102003</t>
  </si>
  <si>
    <t>Active</t>
  </si>
  <si>
    <t>VPN</t>
  </si>
  <si>
    <t>Loretz Autogarage - 101879</t>
  </si>
  <si>
    <t>Muttenz 102716</t>
  </si>
  <si>
    <t>Rheinfelden Zürcherstr. 101102</t>
  </si>
  <si>
    <t>AVIA TS Winznau  (103) - 101230</t>
  </si>
  <si>
    <t>AVIA Tankstelle (142) - 102983</t>
  </si>
  <si>
    <t>Marcel André TS - 103573</t>
  </si>
  <si>
    <t>Bodio 101184</t>
  </si>
  <si>
    <t>Zimmerli Handels AG (301 938) - 101611</t>
  </si>
  <si>
    <t>Avia Shop Basel Kannenfeld (045) - 103230</t>
  </si>
  <si>
    <t>AVIA TS Meggen  (104) - 101200</t>
  </si>
  <si>
    <t>Shop Store Service (301 987) - 104006</t>
  </si>
  <si>
    <t>AVIA Tankstelle (301 904) - 101130</t>
  </si>
  <si>
    <t>Hotel Alpina - 104274</t>
  </si>
  <si>
    <t>AVIA Tankstelle (219) - 102423</t>
  </si>
  <si>
    <t>Ernst Hürlimann AG - 101810</t>
  </si>
  <si>
    <t>Rolle 103032</t>
  </si>
  <si>
    <t>Frick 102521</t>
  </si>
  <si>
    <t>Gurmels 104151</t>
  </si>
  <si>
    <t>Cugy 103992</t>
  </si>
  <si>
    <t>St. Gallen St. Georgen 103539</t>
  </si>
  <si>
    <t>AVIA Station - 103190</t>
  </si>
  <si>
    <t>Avia Tankstelle - 102812</t>
  </si>
  <si>
    <t>Reinach Duggingerstr. 101745</t>
  </si>
  <si>
    <t>Dierikon 101824</t>
  </si>
  <si>
    <t>Avia Shop - 101980</t>
  </si>
  <si>
    <t>Zentrum Garage - 101911</t>
  </si>
  <si>
    <t>AVIA TS Beckenried (156) - 101199</t>
  </si>
  <si>
    <t>AVIA Tankstelle (169) - 102978</t>
  </si>
  <si>
    <t>Hausen b. Brugg 102563</t>
  </si>
  <si>
    <t>Forel 102485</t>
  </si>
  <si>
    <t>AVIA TS Menznau (102) - 101749</t>
  </si>
  <si>
    <t>AVIA Tankstelle (173) - 101188</t>
  </si>
  <si>
    <t>AVIA TS Boswil (154) - 101231</t>
  </si>
  <si>
    <t>AVIA Tankstelle (129) - 102991</t>
  </si>
  <si>
    <t>Avia Tankstelle (243) - 104074</t>
  </si>
  <si>
    <t>Bendern 101170</t>
  </si>
  <si>
    <t>AVIA Tankstelle (171) - 101614</t>
  </si>
  <si>
    <t>Bern Giacometti 103398</t>
  </si>
  <si>
    <t>Grächen 102771</t>
  </si>
  <si>
    <t>AVIA TS Doppleschwand (112) - 101864</t>
  </si>
  <si>
    <t>AVIA Tankstelle (168) - 101950</t>
  </si>
  <si>
    <t>Amriswil 102985</t>
  </si>
  <si>
    <t>Brugg 101143</t>
  </si>
  <si>
    <t>Autocenter Hammer AG (301 790) - 103336</t>
  </si>
  <si>
    <t>Marbach 103176</t>
  </si>
  <si>
    <t>Jürg Ritschard (301 996) - 101206</t>
  </si>
  <si>
    <t>Reinach BL 103222</t>
  </si>
  <si>
    <t>Stäfa 102441</t>
  </si>
  <si>
    <t>Zwingen TS 101106</t>
  </si>
  <si>
    <t>Kriens 101823</t>
  </si>
  <si>
    <t>Mellingen 101140</t>
  </si>
  <si>
    <t>Widnau 104212</t>
  </si>
  <si>
    <t>Sissach 102349</t>
  </si>
  <si>
    <t>AVIA Tankstelle (211) - 101819</t>
  </si>
  <si>
    <t>Kestenholz 101984</t>
  </si>
  <si>
    <t>Montricher 101944</t>
  </si>
  <si>
    <t>Metzerlen 102228</t>
  </si>
  <si>
    <t>Wettingen 101639</t>
  </si>
  <si>
    <t>Stein 101291</t>
  </si>
  <si>
    <t>Eggersriet 101795</t>
  </si>
  <si>
    <t>Arlesheim 104101</t>
  </si>
  <si>
    <t>Righetti Combustibili SA - 104295</t>
  </si>
  <si>
    <t>Tank im Rank - 102285</t>
  </si>
  <si>
    <t>AVIA Tankstelle (233) - 103857</t>
  </si>
  <si>
    <t>AVIA Tankstelle (226) - 101922</t>
  </si>
  <si>
    <t>Täsch 101874</t>
  </si>
  <si>
    <t>Horgen 101619</t>
  </si>
  <si>
    <t>Robbiani Automobili SA - 104286</t>
  </si>
  <si>
    <t>AVIA Tankstelle (154) - 104011</t>
  </si>
  <si>
    <t>Zürich 102444</t>
  </si>
  <si>
    <t>AVIA Tankstelle (104) - 102989</t>
  </si>
  <si>
    <t>Chur Rossboden Wasch 104136</t>
  </si>
  <si>
    <t>Geuensee 102829</t>
  </si>
  <si>
    <t>Arbon 103990</t>
  </si>
  <si>
    <t>Auto Hediger AG (301 983) - 101298</t>
  </si>
  <si>
    <t>Pfenniger Garage  AG - 104155</t>
  </si>
  <si>
    <t>Nebikon 101990</t>
  </si>
  <si>
    <t>AVIA Tankstelle (145) - 102984</t>
  </si>
  <si>
    <t>Richterswil 102752</t>
  </si>
  <si>
    <t>Pontresina 102422</t>
  </si>
  <si>
    <t>AVIA TS Hochdorf (143) - 101651</t>
  </si>
  <si>
    <t>Uzwil 102173</t>
  </si>
  <si>
    <t>Avia Tankstelle (120) - 104203</t>
  </si>
  <si>
    <t>AVIA Shop Bern-Fellerstrasse (013) - 103600</t>
  </si>
  <si>
    <t>AVIA Tankstelle (214) - 102007</t>
  </si>
  <si>
    <t>Monte Carasso 101626</t>
  </si>
  <si>
    <t>AVIA TS Schüpfheim 2 (208) - 101706</t>
  </si>
  <si>
    <t>Auto Wydenmatt (301 906) - 103451</t>
  </si>
  <si>
    <t>Schätzle Testsystem - 104166</t>
  </si>
  <si>
    <t>Sargans 101983</t>
  </si>
  <si>
    <t>AVIA FRANZ AG - 101783</t>
  </si>
  <si>
    <t>Kaltbrunn 102810</t>
  </si>
  <si>
    <t>AVIA TS Giswil (201) - 102612</t>
  </si>
  <si>
    <t>AVIA PIT STOP - 101778</t>
  </si>
  <si>
    <t>Avia Tankstelle (301 921) - 101242</t>
  </si>
  <si>
    <t>AVIA Riedholz (042) - 102282</t>
  </si>
  <si>
    <t>AVIA Tankstelle (179) - 102465</t>
  </si>
  <si>
    <t>AVIA Tankstelle (235) - 103632</t>
  </si>
  <si>
    <t>Dietikon 103030</t>
  </si>
  <si>
    <t>Avia Karpf + Co. - 104118</t>
  </si>
  <si>
    <t>Chur Emserstr. 103767</t>
  </si>
  <si>
    <t>Hoffmann automobile laufen ag - 102304</t>
  </si>
  <si>
    <t>Mazzetta garascha Tödi SA - 101117</t>
  </si>
  <si>
    <t>AVIA Tankstelle (183) - 102169</t>
  </si>
  <si>
    <t>Morges 103317</t>
  </si>
  <si>
    <t>St. Gallen 101156</t>
  </si>
  <si>
    <t>Zürich 101146</t>
  </si>
  <si>
    <t>Ing. Schmal Ges. m. b. H &amp; Co KG - 103594</t>
  </si>
  <si>
    <t>Schlieren 101919</t>
  </si>
  <si>
    <t>Basel Hitalingerstr. 101631</t>
  </si>
  <si>
    <t>Ruedi's Shop (200) - 103508</t>
  </si>
  <si>
    <t>Muttenz 103791</t>
  </si>
  <si>
    <t>Strengelbach 101764</t>
  </si>
  <si>
    <t>Tankstelle HESSAG - 102746</t>
  </si>
  <si>
    <t>Zufikon 101961</t>
  </si>
  <si>
    <t>Wittenbach 103525</t>
  </si>
  <si>
    <t>AVIA SHOP (113) - 103765</t>
  </si>
  <si>
    <t>Rüschlikon 101145</t>
  </si>
  <si>
    <t>Rivera 103868</t>
  </si>
  <si>
    <t>Avia Tankstelle (248) - 104248</t>
  </si>
  <si>
    <t>Bruno Nef  (301 982) - 102307</t>
  </si>
  <si>
    <t>Shop Store Service (301 971) - 102409</t>
  </si>
  <si>
    <t>Zürich 101848</t>
  </si>
  <si>
    <t>Seengen 101269</t>
  </si>
  <si>
    <t>Wilen bei Wil 103605</t>
  </si>
  <si>
    <t>AVIA Tankstelle (301 910) - 101859</t>
  </si>
  <si>
    <t>AVIA Tankstelle (116) - 104009</t>
  </si>
  <si>
    <t>AVIA Stazione Sciarini - 101080</t>
  </si>
  <si>
    <t>AVIA Tankstelle (301 915) - 101124</t>
  </si>
  <si>
    <t>Wil 103738</t>
  </si>
  <si>
    <t>Klosters 102192</t>
  </si>
  <si>
    <t>AVIA Shop (229) - 103099</t>
  </si>
  <si>
    <t>Garage Hartmann (216) - 102219</t>
  </si>
  <si>
    <t>Adliswil 103985</t>
  </si>
  <si>
    <t>Bremgarten 101926</t>
  </si>
  <si>
    <t>AVIA TS Littau 2 (167) - 101882</t>
  </si>
  <si>
    <t>Avia Tankstelle (245) - 104211</t>
  </si>
  <si>
    <t>AVIA Tankstelle (148) - 101800</t>
  </si>
  <si>
    <t>Agrola</t>
  </si>
  <si>
    <t>Agrola Tankstelle - 103506</t>
  </si>
  <si>
    <t>Winiger Motos - 103538</t>
  </si>
  <si>
    <t>Avia Shop Claro - 103741</t>
  </si>
  <si>
    <t>Hirlak  Sadrettin - 101178</t>
  </si>
  <si>
    <t>AVIA Tankstelle (198) - 103116</t>
  </si>
  <si>
    <t>Herisau 103179</t>
  </si>
  <si>
    <t>Wolhusen 101254</t>
  </si>
  <si>
    <t>Maloja 102749</t>
  </si>
  <si>
    <t>Otelfingen 102496</t>
  </si>
  <si>
    <t>AVIA Tankstelle (186) - 101190</t>
  </si>
  <si>
    <t>Luzern Rothenstr. 101306</t>
  </si>
  <si>
    <t>Sion 102277</t>
  </si>
  <si>
    <t>Uzwil 102019</t>
  </si>
  <si>
    <t>Avia Service - 103729</t>
  </si>
  <si>
    <t>St. Margrethen 103983</t>
  </si>
  <si>
    <t>Wildegg 101832</t>
  </si>
  <si>
    <t>AVIA Tankstelle (151) - 101197</t>
  </si>
  <si>
    <t>CKW (AVIA) Tankstelle  (222) - 102772</t>
  </si>
  <si>
    <t>Puidoux 103975</t>
  </si>
  <si>
    <t>Aviamat Tankstelle - 101303</t>
  </si>
  <si>
    <t>Wikon 102366</t>
  </si>
  <si>
    <t>AVIA Tankstelle (236) - 102042</t>
  </si>
  <si>
    <t>AVIA Tankstelle 136 - 102811</t>
  </si>
  <si>
    <t>Chur Rossboden Shop 104135</t>
  </si>
  <si>
    <t>Huber Transport AG - 104288</t>
  </si>
  <si>
    <t>Basel 101196</t>
  </si>
  <si>
    <t>Hochwald 103790</t>
  </si>
  <si>
    <t>Gossau SG 104233</t>
  </si>
  <si>
    <t>Stazione di servizio AVIA - 103602</t>
  </si>
  <si>
    <t>Basel 104177</t>
  </si>
  <si>
    <t>AVIA Station (008) - 103792</t>
  </si>
  <si>
    <t>Gebr. Müller (301 943) - 101887</t>
  </si>
  <si>
    <t>Oberwil BL 101816</t>
  </si>
  <si>
    <t>Kölliken 102267</t>
  </si>
  <si>
    <t>Schönengrund 103131</t>
  </si>
  <si>
    <t>Lerch AG - 102710</t>
  </si>
  <si>
    <t>Jaunpassgarage - 101927</t>
  </si>
  <si>
    <t>Oberentfelden 102685</t>
  </si>
  <si>
    <t>Zunzgen 101246</t>
  </si>
  <si>
    <t>Balgach 102745</t>
  </si>
  <si>
    <t>AVIA Tankstelle (197) - 102987</t>
  </si>
  <si>
    <t>Weggis 102225</t>
  </si>
  <si>
    <t>Koller + Amstutz AG (301 947) - 102184</t>
  </si>
  <si>
    <t>Nottwil 101271</t>
  </si>
  <si>
    <t>AVIA TS Küssnacht (193) - 102438</t>
  </si>
  <si>
    <t>Büren SO 103201</t>
  </si>
  <si>
    <t>Landi Leuzingen - 104319</t>
  </si>
  <si>
    <t>Münchenstein 101602</t>
  </si>
  <si>
    <t>Rothenburg Bertiswilstr. 101007</t>
  </si>
  <si>
    <t>AVIA TS Schüpfheim 1 (202) - 101881</t>
  </si>
  <si>
    <t>AVIA  TS Escholzmatt (210) - 101663</t>
  </si>
  <si>
    <t>Avia Shop Basel-Burgfelden  (006) - 103513</t>
  </si>
  <si>
    <t>Neuenkirch 101285</t>
  </si>
  <si>
    <t>AVIA Tankstelle (164) - 101118</t>
  </si>
  <si>
    <t>Luzern-Littau 101822</t>
  </si>
  <si>
    <t>St. Gallen Ikarusstr. 102979</t>
  </si>
  <si>
    <t>LURAG Luzerner Raststätten AG - 102831</t>
  </si>
  <si>
    <t>Arbon 103189</t>
  </si>
  <si>
    <t>AVIA Shop Augst (020) - 102229</t>
  </si>
  <si>
    <t>Haag 101085</t>
  </si>
  <si>
    <t>Egger AG Garage - 103703</t>
  </si>
  <si>
    <t>Huber Automobile AG (301 925) - 103112</t>
  </si>
  <si>
    <t>AVIA Tankstelle (133) - 102008</t>
  </si>
  <si>
    <t>AVIA TS Süderen (205) - 101923</t>
  </si>
  <si>
    <t>Chavannes 103502</t>
  </si>
  <si>
    <t>Appenzell 101892</t>
  </si>
  <si>
    <t>Zollikofen 102154</t>
  </si>
  <si>
    <t>Herznach 101270</t>
  </si>
  <si>
    <t>Dulliken 102393</t>
  </si>
  <si>
    <t>AVIA Tankstelle  (190) - 101799</t>
  </si>
  <si>
    <t>St. Gallen 103995</t>
  </si>
  <si>
    <t>AVIA Tankstelle  (161) - 101307</t>
  </si>
  <si>
    <t>AVIA Shop (228) - 103049</t>
  </si>
  <si>
    <t>Rothenburg 102744</t>
  </si>
  <si>
    <t>Reuss-Garage AG - 104182</t>
  </si>
  <si>
    <t>AVIA TS Hasle 1 (206) - 101705</t>
  </si>
  <si>
    <t>Altdorf 102428</t>
  </si>
  <si>
    <t>Moosleerau 101665</t>
  </si>
  <si>
    <t>Niederhelfenschwil 101952</t>
  </si>
  <si>
    <t>Brunnadern 101613</t>
  </si>
  <si>
    <t>Orny 101872</t>
  </si>
  <si>
    <t>AVIA Tankstelle (155) - 101132</t>
  </si>
  <si>
    <t>AVIA TS Weggis 1  (128) - 101272</t>
  </si>
  <si>
    <t>Brunnen 102763</t>
  </si>
  <si>
    <t>Unterägeri 101239</t>
  </si>
  <si>
    <t>St. Gallen Oberstr. 103764</t>
  </si>
  <si>
    <t>Reiden 101107</t>
  </si>
  <si>
    <t>Sissach 101181</t>
  </si>
  <si>
    <t>Stein AR 101189</t>
  </si>
  <si>
    <t>Emmenbrücke 101290</t>
  </si>
  <si>
    <t>AVIA Tankstelle (111) - 102988</t>
  </si>
  <si>
    <t>Rümlingen 101972</t>
  </si>
  <si>
    <t>Stazione AVIA - 101627</t>
  </si>
  <si>
    <t>Basel 101312</t>
  </si>
  <si>
    <t>AVIA Garage Hersan - 102442</t>
  </si>
  <si>
    <t>Ehrendingen 101119</t>
  </si>
  <si>
    <t>Mendrisio 101079</t>
  </si>
  <si>
    <t>FRANZ AG - 101979</t>
  </si>
  <si>
    <t>Herisau 101280</t>
  </si>
  <si>
    <t>Avia Tankstelle (158) - 102040</t>
  </si>
  <si>
    <t>AVIA Tankstelle (141) - 102982</t>
  </si>
  <si>
    <t>Kriens 102933</t>
  </si>
  <si>
    <t>AVIA Tankstelle (109) - 101677</t>
  </si>
  <si>
    <t>Avia Tankstelle (194) - 103540</t>
  </si>
  <si>
    <t>Gelterkinden 102394</t>
  </si>
  <si>
    <t>AVIA Tankstelle (206) - 101211</t>
  </si>
  <si>
    <t>Bättwil-Flüh 101637</t>
  </si>
  <si>
    <t>St. Gallen 104150</t>
  </si>
  <si>
    <t>St. Gallen 104010</t>
  </si>
  <si>
    <t>Inwil 102665</t>
  </si>
  <si>
    <t>Tankstelle  Scall - 102135</t>
  </si>
  <si>
    <t>AVIA Tankstelle (177) - 102986</t>
  </si>
  <si>
    <t>Lenzerheide 102667</t>
  </si>
  <si>
    <t>AVIA Tankstelle (301 922) - 101278</t>
  </si>
  <si>
    <t>Erlinsbach 102806</t>
  </si>
  <si>
    <t>Kantonspolizei Basel-Stadt - 104240</t>
  </si>
  <si>
    <t>Gossau 103732</t>
  </si>
  <si>
    <t>Oberaach 101109</t>
  </si>
  <si>
    <t>Niederweningen 102380</t>
  </si>
  <si>
    <t>AVIA Shop Herzogenbuchsee (20040) - 104106</t>
  </si>
  <si>
    <t>AVIA Tankstelle (301 963) - 102348</t>
  </si>
  <si>
    <t>Olten 102443</t>
  </si>
  <si>
    <t>Schattdorf 101628</t>
  </si>
  <si>
    <t>AVIA Shop Tankstelle (301 937) - 104046</t>
  </si>
  <si>
    <t>Oftringen 102705</t>
  </si>
  <si>
    <t>Oberwil BL 101831</t>
  </si>
  <si>
    <t>AVIA Shop Pratteln (021) - 101743</t>
  </si>
  <si>
    <t>Avia Shop Binningen (036) - 102687</t>
  </si>
  <si>
    <t>AVIA Tankstelle (172) - 101134</t>
  </si>
  <si>
    <t>Stazione servizio Defanti - 101752</t>
  </si>
  <si>
    <t>Le Crêt 101844</t>
  </si>
  <si>
    <t>Pneu Bögli AG - 102239</t>
  </si>
  <si>
    <t>Basel Holeestr. 101163</t>
  </si>
  <si>
    <t>Sevelen 101625</t>
  </si>
  <si>
    <t>Liesberg 102999</t>
  </si>
  <si>
    <t>Frauenfeld 103766</t>
  </si>
  <si>
    <t>Dornach 101105</t>
  </si>
  <si>
    <t>Muttenz 101165</t>
  </si>
  <si>
    <t>Rodersdorf 101974</t>
  </si>
  <si>
    <t>Post</t>
  </si>
  <si>
    <t>Rothenburg Test 103889</t>
  </si>
  <si>
    <t>B. Parolini (301 956) - 102615</t>
  </si>
  <si>
    <t>Trimbach 101884</t>
  </si>
  <si>
    <t>AVIA Tankstelle (178) - 102466</t>
  </si>
  <si>
    <t>Bischofszell 104012</t>
  </si>
  <si>
    <t>Buchs 101818</t>
  </si>
  <si>
    <t>Horn 103347</t>
  </si>
  <si>
    <t>Kradolf 101302</t>
  </si>
  <si>
    <t>Nebikon 101991</t>
  </si>
  <si>
    <t>Fislisbach 102522</t>
  </si>
  <si>
    <t>AVIA Tankstelle (181) - 101838</t>
  </si>
  <si>
    <t>Lyssach 101746</t>
  </si>
  <si>
    <t>Biel 102786</t>
  </si>
  <si>
    <t>Schiers 101949</t>
  </si>
  <si>
    <t>AVIA TS Muotathal (118) - 102227</t>
  </si>
  <si>
    <t>Waldenburg 101976</t>
  </si>
  <si>
    <t>AVIA Shop Fahy (026) - 101025</t>
  </si>
  <si>
    <t>Kaiseraugst 101123</t>
  </si>
  <si>
    <t>Liestal Gasstr. 102425</t>
  </si>
  <si>
    <t>Rothenegg-Garage AG - 102401</t>
  </si>
  <si>
    <t>Büsserach 103789</t>
  </si>
  <si>
    <t>Franz AG - 102270</t>
  </si>
  <si>
    <t>Garage Jurt AG - 102361</t>
  </si>
  <si>
    <t>LG RIGI - 104300</t>
  </si>
  <si>
    <t>Garage Vera SA - 103660</t>
  </si>
  <si>
    <t>Dongio 101081</t>
  </si>
  <si>
    <t>Münchenstein 101241</t>
  </si>
  <si>
    <t>Ormalingen 102333</t>
  </si>
  <si>
    <t>AVIA Tankstelle (128) - 103115</t>
  </si>
  <si>
    <t>Avia Seetankstelle (242) - 104176</t>
  </si>
  <si>
    <t>AVIA Tankstelle (204) - 101160</t>
  </si>
  <si>
    <t>Schaffhausen 102792</t>
  </si>
  <si>
    <t>Magden 102183</t>
  </si>
  <si>
    <t>Bucktem 101086</t>
  </si>
  <si>
    <t>Gossau 103262</t>
  </si>
  <si>
    <t>Ambri 103101</t>
  </si>
  <si>
    <t>Le Brassus 101248</t>
  </si>
  <si>
    <t>Hitzkirch 101853</t>
  </si>
  <si>
    <t>Mörschwil 102980</t>
  </si>
  <si>
    <t>Garage Stucki AG - 101284</t>
  </si>
  <si>
    <t>AVIA Tankstelle (247) - 103214</t>
  </si>
  <si>
    <t>Luzern Seeburg 101896</t>
  </si>
  <si>
    <t>AVIA Tankstelle (221) - 102545</t>
  </si>
  <si>
    <t>Hägendorf 102246</t>
  </si>
  <si>
    <t>LURAG Luzerner Raststätten AG 1 - 102830</t>
  </si>
  <si>
    <t>AVIA Dorfgarage Fürer (215) - 103447</t>
  </si>
  <si>
    <t>Frenkendorf 101164</t>
  </si>
  <si>
    <t>St. Gallen Zürcherstr. 102374</t>
  </si>
  <si>
    <t>AVIA Tankstelle (238) - 103887</t>
  </si>
  <si>
    <t>AVIA Tankstelle (196) - 101948</t>
  </si>
  <si>
    <t>Avia Shop Zwingen (016) - 102290</t>
  </si>
  <si>
    <t>Lantzerath Tankstellentechnik GmbH - 101084</t>
  </si>
  <si>
    <t>Eggenberg AG (301 993) - 101973</t>
  </si>
  <si>
    <t>AVIA Tankstelle (135) - 101798</t>
  </si>
  <si>
    <t>Stabio 103229</t>
  </si>
  <si>
    <t>AVIA Basel (003) - 101744</t>
  </si>
  <si>
    <t>Avia Tankstelle (179) - 103890</t>
  </si>
  <si>
    <t>Altnau 102731</t>
  </si>
  <si>
    <t>Chur Masanerstr. 101210</t>
  </si>
  <si>
    <t>Basel 101237</t>
  </si>
  <si>
    <t>Trimmis 103858</t>
  </si>
  <si>
    <t>Basel 102659</t>
  </si>
  <si>
    <t>Gontenschwil 102777</t>
  </si>
  <si>
    <t>Nicca AG - 103202</t>
  </si>
  <si>
    <t>Davos Dorf 102992</t>
  </si>
  <si>
    <t>AVIA TS Inwil 1 (123) - 102430</t>
  </si>
  <si>
    <t>Tankstelle Bramboden - 103078</t>
  </si>
  <si>
    <t>Ponte Cremenaga 103498</t>
  </si>
  <si>
    <t>Vallamand 102006</t>
  </si>
  <si>
    <t>Fleuben Garage - 101282</t>
  </si>
  <si>
    <t>Oeschgen 101205</t>
  </si>
  <si>
    <t>Avia Tankstelle - 104020</t>
  </si>
  <si>
    <t>Goldau 103376</t>
  </si>
  <si>
    <t>St. Gallen 101136</t>
  </si>
  <si>
    <t>Buchs SG 101121</t>
  </si>
  <si>
    <t>Muttenz 102202</t>
  </si>
  <si>
    <t>AVIA Station (189) - 103261</t>
  </si>
  <si>
    <t>LAVEBA-QS</t>
  </si>
  <si>
    <t>do not use - Teufen</t>
  </si>
  <si>
    <t>CMA-Production</t>
  </si>
  <si>
    <t>Coop Verteilerzentrum - Rupperswilerstrasse 2 - 5503 Schafisheim - 104485</t>
  </si>
  <si>
    <t>Full</t>
  </si>
  <si>
    <t>German</t>
  </si>
  <si>
    <t>Schafisheim (SAP 6274)</t>
  </si>
  <si>
    <t>Coop Tankstelle - Lochackerweg 5 -3302 Moosseedorf - 104416</t>
  </si>
  <si>
    <t>Decommissioning</t>
  </si>
  <si>
    <t>Coop Tankstelle - Autobahnraststätte Gunzgen Nord - 4617 Gunzgen - 104417</t>
  </si>
  <si>
    <t>Coop Tankstelle - Grenzstrasse 6 - 8184 Bachenbülach - 104401</t>
  </si>
  <si>
    <t>Coop Tankstelle -  Badenerstrasse 77 - 8180 Bülach - 104399</t>
  </si>
  <si>
    <t>CPA-Redguarrd-PenTest-IoT</t>
  </si>
  <si>
    <t>Bülach (SAP 6259)</t>
  </si>
  <si>
    <t>Coop Pronto Shop - Bahnhofplatz 2 - 8640 Rapperswil - 104407</t>
  </si>
  <si>
    <t>Rapperswil (SAP 6200)</t>
  </si>
  <si>
    <t>Coop Pronto - Bahnhof - 4410 Liestal - 104400</t>
  </si>
  <si>
    <t>CPA-Redguarrd-PenTest-IoT,SiteType:Fuel,SiteType:Shop</t>
  </si>
  <si>
    <t>Shop Tankstelle Sierre GmbH - Route de Sion 115 - 3960 Sierre - 104396</t>
  </si>
  <si>
    <t>SiteType:Fuel,SiteType:Shop</t>
  </si>
  <si>
    <t>French</t>
  </si>
  <si>
    <t>Coop Tankstelle - Rheinstrasse 12-14 - 9470 Buchs - 104394</t>
  </si>
  <si>
    <t>Coop Pronto mit Tankstelle - Rietstrasse 6 - 8890 Flums - 104388</t>
  </si>
  <si>
    <t>Bechtle CPA-Pilot locations,Migrationhelper:DNSNTPLocalBreakout,SiteType:Fuel,SiteType:Shop</t>
  </si>
  <si>
    <t>Flums (SAP 5924)</t>
  </si>
  <si>
    <t>Coop Tankstelle-Albert-Einstein-Strasse 1-8404 Winterthur - 104393</t>
  </si>
  <si>
    <t>Winterthur (SAP 5876)</t>
  </si>
  <si>
    <t>Coop Pronto - Route d'Oulteret 44 - 1260 Nyon - 104389</t>
  </si>
  <si>
    <t>Nyon (SAP 5786)</t>
  </si>
  <si>
    <t>Coop Pronto - Rue de Motteys 1 - 1908 Riddes - 104386</t>
  </si>
  <si>
    <t>Riddes (SAP 6168)</t>
  </si>
  <si>
    <t>Coop Pronto - Industriestrasse 26 - 6055 Alpnach Dorf - 104385</t>
  </si>
  <si>
    <t>Alpnach Dorf (SAP 5627)</t>
  </si>
  <si>
    <t>Coop Pronto - Im Schönengrund 1 - 8404 Winterthur - 104383</t>
  </si>
  <si>
    <t>Winterthur Schönengrund (SAP 5916)</t>
  </si>
  <si>
    <t>Coop Pronto - Masanserstrasse 180 - 7000 Chur - 104379</t>
  </si>
  <si>
    <t>Chur (SAP 5729)</t>
  </si>
  <si>
    <t>Coop Pronto - Wehntalerstrasse 351 - 8046 Zürich - 104375</t>
  </si>
  <si>
    <t>Zürich (SAP 5923)</t>
  </si>
  <si>
    <t>Coop Pronto - Zürich K.I.S.S. Badenerstrasse 575a - 8048 Zürich - 103682</t>
  </si>
  <si>
    <t>SiteType:Shop</t>
  </si>
  <si>
    <t>Zürich (SAP 4854)</t>
  </si>
  <si>
    <t>Coop Pronto - Witikonerstrasse 15 - 8032 Zürich - 101562</t>
  </si>
  <si>
    <t>Zürich (SAP 4269)</t>
  </si>
  <si>
    <t>Coop Pronto - Tessinerplatz 3 - 8002 Zürich - 104152</t>
  </si>
  <si>
    <t>Zürich-Tessinerplatz (SAP 5246)</t>
  </si>
  <si>
    <t>Coop Pronto - Stauffacher Badenerstrasse 44 - 8004 Zürich - 103734</t>
  </si>
  <si>
    <t>Zürich (SAP 4894)</t>
  </si>
  <si>
    <t>Coop Pronto - Schaffhauserstrasse 499 - 8052 Zürich-Seebach - 101546</t>
  </si>
  <si>
    <t>Zürich-Seebach (SAP 3849)</t>
  </si>
  <si>
    <t>Coop Pronto - Rue de la cité 3 - 1201 Genève - 104147</t>
  </si>
  <si>
    <t>Genève (SAP 5241)</t>
  </si>
  <si>
    <t>Coop Pronto - Robert-Walser-Platz 1 - 2503 Biel/Bienne - 101403</t>
  </si>
  <si>
    <t>Biel/Bienne (SAP 3522)</t>
  </si>
  <si>
    <t>Coop Pronto - Relais de la Côte (Jura) - 1183 Bursins - 101420</t>
  </si>
  <si>
    <t>Bursins (SAP 3523)</t>
  </si>
  <si>
    <t>Coop Pronto - Raststätte Gunzgen Süd - 4616 Kappel SO - 101417</t>
  </si>
  <si>
    <t>Kappel SO (SAP 3511)</t>
  </si>
  <si>
    <t>Coop Pronto - Rapperswilerstrasse 2 - 8620 Wetzikon - 104335</t>
  </si>
  <si>
    <t>Wetzikon (SAP 5751)</t>
  </si>
  <si>
    <t>Coop Pronto - Promenade 143 - 7260 Davos Dorf - 101452</t>
  </si>
  <si>
    <t>CiRRUSFeatureFlag:UseEnginePos,SiteType:Shop</t>
  </si>
  <si>
    <t>Davos Dorf (SAP 3516)</t>
  </si>
  <si>
    <t>Coop Pronto - Promenade 63 - 7270 Davos Platz - 101426</t>
  </si>
  <si>
    <t>Davos Platz (SAP 3512)</t>
  </si>
  <si>
    <t>Coop Pronto - Prime Tower Hardstrasse 221 - 8005 Zürich - 103572</t>
  </si>
  <si>
    <t>ZÃ¼rich (SAP 4577)</t>
  </si>
  <si>
    <t>Coop Pronto - Place de la Gare 11 - 1003 Lausanne - 104266</t>
  </si>
  <si>
    <t>Lausanne (SAP 5694)</t>
  </si>
  <si>
    <t>Coop Pronto - Place de la Gare 10 - 3960 Sierre - 104214</t>
  </si>
  <si>
    <t>Sierre (SAP 5462)</t>
  </si>
  <si>
    <t>Coop Pronto - Place de la Gare 10 - 1400 Yverdon-les-Bains - 101485</t>
  </si>
  <si>
    <t>Yverdon-les-Bains (SAP 3650)</t>
  </si>
  <si>
    <t>Coop Pronto - Place de la Gare 7 - 2800 Delémont - 101462</t>
  </si>
  <si>
    <t>Delémont (SAP 3526)</t>
  </si>
  <si>
    <t>Coop Pronto - Place de la Gare 5 - 2900 Porrentruy - 101572</t>
  </si>
  <si>
    <t>Porrentruy (SAP 3955)</t>
  </si>
  <si>
    <t>Coop Pronto - Place de la Gare 5 - 1800 Vevey - 101475</t>
  </si>
  <si>
    <t>Vevey (SAP 3552)</t>
  </si>
  <si>
    <t>Coop Pronto - Place de la Gare 4 - 1260 Nyon - 104028</t>
  </si>
  <si>
    <t>Nyon (SAP 4824)</t>
  </si>
  <si>
    <t>Coop Pronto - Place de la Gare 3 - 1020 Renens VD - 104245</t>
  </si>
  <si>
    <t>Bechtle CPA-Pilot locations,CiRRUSFeatureFlag:UseEnginePos,Migrationhelper:DNSNTPLocalBreakout,SiteType:Fuel,SiteType:Shop</t>
  </si>
  <si>
    <t>Renens VD (SAP 5601)</t>
  </si>
  <si>
    <t>Coop Pronto - Place de la Gare 2 - 1110 Morges - 104215</t>
  </si>
  <si>
    <t>Morges (SAP 5460)</t>
  </si>
  <si>
    <t>Coop Pronto - Place de la Gare 1 - 1860 Aigle - 104207</t>
  </si>
  <si>
    <t>Aigle (SAP 5304)</t>
  </si>
  <si>
    <t>Coop Pronto - Place Chauderon 3 - 1003 Lausanne - 101481</t>
  </si>
  <si>
    <t>Lausanne (SAP 3655)</t>
  </si>
  <si>
    <t>Coop Pronto - Panoramastrasse 1 - 3600 Thun - 101402</t>
  </si>
  <si>
    <t>CiRRUSFeatureFlag:UseEnginePos,SiteType:Fuel,SiteType:Shop</t>
  </si>
  <si>
    <t>Thun (SAP 3508)</t>
  </si>
  <si>
    <t>Coop Pronto - Niederacher 1 - 8867 Niederurnen - 101596</t>
  </si>
  <si>
    <t>Niederurnen (SAP 4635)</t>
  </si>
  <si>
    <t>Coop Pronto - Main Tower Thurgauerstrasse 36/38 - 8050 Zürich - 103696</t>
  </si>
  <si>
    <t>ZÃ¼rich (SAP 4844)</t>
  </si>
  <si>
    <t>Coop Pronto - Löwenstrasse 9 - 8001 Zürich - 101512</t>
  </si>
  <si>
    <t>Zürich (SAP 3769)</t>
  </si>
  <si>
    <t>Coop Pronto - Lausanne-Ouchy GmbH Avenue d'Ouchy 68 - 1006 Lausanne - 101483</t>
  </si>
  <si>
    <t>Lausanne (SAP 3576)</t>
  </si>
  <si>
    <t>Gooods-Production</t>
  </si>
  <si>
    <t>ENI gooods Lausanne - Avenue de Rhodanie 68 - 1007 Lausanne - 104497</t>
  </si>
  <si>
    <t>ENI GO Lausanne (ENI/GOOODS-ST-4797506)</t>
  </si>
  <si>
    <t>Training 6 (ENI Gooods)</t>
  </si>
  <si>
    <t>CiRRUSFeatureFlag:UseEnginePos,migrolino SA,SPECIAL-PERMISSION-BITHAWK-MIGROLINO</t>
  </si>
  <si>
    <t>Migrol &amp; migrolino-Production</t>
  </si>
  <si>
    <t>Migrol Service - Worblaufenstrasse 159/161 - 3048 Worblaufen - 104486</t>
  </si>
  <si>
    <t>CiRRUSFeatureFlag:UseEnginePos,Migrol</t>
  </si>
  <si>
    <t>Worblaufen (MIGROL-TS-4167473)</t>
  </si>
  <si>
    <t>migrolino Zürich Primetower - Hardstrasse 221 /223 - 8005 Zürich - 104487</t>
  </si>
  <si>
    <t>migrolino Zürich Primetower (MIGROLINO-SA-4797486)</t>
  </si>
  <si>
    <t>ENI GO Rapperswil</t>
  </si>
  <si>
    <t>ENI GO Rapperswil (ENI/GOOODS-ST-4797501)</t>
  </si>
  <si>
    <t>Coop Pronto - Landstrasse 79 - 5430 Wettingen - 101490</t>
  </si>
  <si>
    <t>Wettingen (SAP 3651)</t>
  </si>
  <si>
    <t>mio Bern HB - Bahnhofplatz 10 - 3011 Bern</t>
  </si>
  <si>
    <t>CiRRUSFeatureFlag:UseEnginePos,MIO SA,SPECIAL-PERMISSION-BITHAWK-MIGROLINO</t>
  </si>
  <si>
    <t>Bern Bahnhofplatz (MIO-SA-4797492)</t>
  </si>
  <si>
    <t>mio Zürich HB - Museumstrasse 1 - 8001 Zürich - 104425</t>
  </si>
  <si>
    <t>Zürich Museumstrasse 1 (MIO-SA-4797491)</t>
  </si>
  <si>
    <t>migrolino Saas Fee - Obere Dorfstrasse 21 - 3906 Saas Fee - 104424</t>
  </si>
  <si>
    <t>Saas Fee Obere Dorfstrasse 21 (MIGROLINO-SA-4797490)</t>
  </si>
  <si>
    <t>Coop Pronto - Kornhausstrasse 18 - 9000 St. Gallen - 101590</t>
  </si>
  <si>
    <t>St. Gallen (SAP 4562)</t>
  </si>
  <si>
    <t>migrolino Niederweningen - Wehntalerstrasse 71 - 8166 Niederweningen - 104423</t>
  </si>
  <si>
    <t>Niederweningen Wehntalerstrasse 71 (MIGROLINO-SA-4797482)</t>
  </si>
  <si>
    <t>migrolino Goldach SBB - Bahnhofplatz 1 - 9403 Goldach - 104426</t>
  </si>
  <si>
    <t>Goldach Bahnhofplatz 1 (MIGROLINO-SA-4797475)</t>
  </si>
  <si>
    <t>migrolino Wohlen - Bahnhofplatz 1 - 5610 Wohlen - 104427</t>
  </si>
  <si>
    <t>Wohlen Bahnhofplatz 1 (MIGROLINO-SA-4797470)</t>
  </si>
  <si>
    <t>Migrol Service - Oltnerstrasse 28 - 5014 Gretzenbach - 104398</t>
  </si>
  <si>
    <t>NAC (Port Security) By BiCA,CiRRUSFeatureFlag:UseEnginePos,Migrol</t>
  </si>
  <si>
    <t>Gretzenbach (MIGROL-ST-4167462)</t>
  </si>
  <si>
    <t>migrolino Dietikon - Bahnhofplatz 8 - 8953 Dietikon - 104442</t>
  </si>
  <si>
    <t>Dietikon Bahnhofplatz 8 (MIGROLINO-SA-4797483)</t>
  </si>
  <si>
    <t>mio Baden - Metroshop - 5400 Baden - 104421</t>
  </si>
  <si>
    <t>Baden Metro-Shop (MIO-SA-4797485)</t>
  </si>
  <si>
    <t>migrolino Wallisellen - Bahnhofplatz 1A - 8304 Wallisellen - 104459</t>
  </si>
  <si>
    <t>Wallisellen Bahnhofplatz 1A (MIGROLINO-SA-4797476)</t>
  </si>
  <si>
    <t>Migrol Tankstelle - Luzernerstrasse 22 - 4800 Zofingen - 104404</t>
  </si>
  <si>
    <t>Zofingen (MIGROL-ST-4166687)</t>
  </si>
  <si>
    <t>Test Site Sursee 9002</t>
  </si>
  <si>
    <t>Migrol Service-Zürichstrasse 52 - 3360 Herzogenbuchsee - 104391</t>
  </si>
  <si>
    <t>CiRRUSFeatureFlag:UseEnginePos,Migrol,SiteType:Shop</t>
  </si>
  <si>
    <t>Herzogenbuchsee (MIGROL-ST-4167474)</t>
  </si>
  <si>
    <t>migrolino Gümligen - Bahnhofstrasse 21  - 3073 Gümligen - 104462</t>
  </si>
  <si>
    <t>Gümligen Bahnhofstrasse 21 (MIGROLINO-SA-4797469)</t>
  </si>
  <si>
    <t>Migrol Service - Textilstrasse 3 - Arbon - 104327</t>
  </si>
  <si>
    <t>Arbon Textilstrasse 3 (MIGROL-ST-4166598)</t>
  </si>
  <si>
    <t>Coop Pronto - Im Bahnhof 1 - 8590 Romanshorn - 101557</t>
  </si>
  <si>
    <t>Romanshorn (SAP 4187)</t>
  </si>
  <si>
    <t>Coop Pronto - Hohlstrasse 560 - 8048 Zürich - 101514</t>
  </si>
  <si>
    <t>Zürich (SAP 3768)</t>
  </si>
  <si>
    <t>Migrol Service - Route de Bassin 4a - Conthey - 104371</t>
  </si>
  <si>
    <t>Conthey Route de Bassin 4a (MIGROL-ST-4166685)</t>
  </si>
  <si>
    <t>migrolino Payerne CFF - Rue de la Gare 14 - 1530 Payerne - 104469</t>
  </si>
  <si>
    <t>Payerne Rue de la Gare 14 (MIGROLINO-SA-4797369)</t>
  </si>
  <si>
    <t>Coop Pronto - Höheweg 26 - 3800 Interlaken - 101392</t>
  </si>
  <si>
    <t>Interlaken (SAP 3505)</t>
  </si>
  <si>
    <t>Coop Pronto - Hofwiesenstrasse 369 - 8050 Zürich-Oerlikon - 104199</t>
  </si>
  <si>
    <t>Bechtle CPA-Pilot locations,Migrationhelper:DNSNTPLocalBreakout,SiteType:Shop</t>
  </si>
  <si>
    <t>Zürich-Oerlikon (SAP 5167)</t>
  </si>
  <si>
    <t>migrolino Zofingen - Untere Grabenstrasse 32 - 4800 Zofingen - 104468</t>
  </si>
  <si>
    <t>Zofingen Untere Grabenstrasse 32 (MIGROLINO-SA-4797456)</t>
  </si>
  <si>
    <t>migrolino Montreux - Gare CFF, Avenue des alpes 74 - 1820 Montreux - 104474</t>
  </si>
  <si>
    <t>Montreux Gare CFF Avenue des alpes 74 (MIGROLINO-SA-4797367)</t>
  </si>
  <si>
    <t>migrolino Martigny - Avenue de la Gare 53 - 1920 Martigny - 104473</t>
  </si>
  <si>
    <t>Martigny Avenue de la Gare 53 (MIGROLINO-SA-4797294)</t>
  </si>
  <si>
    <t>Jubin Frères S.A. - Test</t>
  </si>
  <si>
    <t>Jubin - Centre de formation n° 10</t>
  </si>
  <si>
    <t>migrolino Genève O'Vives - Av. de la Gare-des-Eaux-Vives 11 - 1207 Genève - 104472</t>
  </si>
  <si>
    <t>Genève Av. de la Gare-des-Eaux-Vives 11 (MIGROLINO-SA-4797372)</t>
  </si>
  <si>
    <t>migrolino Bussigny - Place de la Gare 1 - 1030 Bussigny - 104471</t>
  </si>
  <si>
    <t>Bussigny Place de la Gare 1 (MIGROLINO-SA-4797371)</t>
  </si>
  <si>
    <t>Jubin - Centre de formation n° 9</t>
  </si>
  <si>
    <t>Coop Pronto - Heidiland Autobahnraststätte - 7304 Maienfeld - 103745</t>
  </si>
  <si>
    <t>Maienfeld (SAP 4934)</t>
  </si>
  <si>
    <t>migrolino Versoix - Chemin Jean-B Vandelle 1 - 1290 Versoix - 104470</t>
  </si>
  <si>
    <t>Versoix Chemin Jean-B Vandelle 1 (MIGROLINO-SA-4797368)</t>
  </si>
  <si>
    <t>Jubin - Centre de formation n° 8</t>
  </si>
  <si>
    <t>migrolino Moutier - Avenue de la Gare 22 - 2740 Moutier - 104467</t>
  </si>
  <si>
    <t>Moutier avenue de la Gare 22 (MIGROLINO-SA-4797026)</t>
  </si>
  <si>
    <t>Jubin - Centre de formation n° 7</t>
  </si>
  <si>
    <t>migrolino Lenzburg - Bahnhofstrasse 50 - 5600 Lenzburg - 104466</t>
  </si>
  <si>
    <t>Lenzburg Bahnhofstrasse 50 (MIGROLINO-SA-4797362)</t>
  </si>
  <si>
    <t>Jubin - Centre de formation n° 6</t>
  </si>
  <si>
    <t>Fuel</t>
  </si>
  <si>
    <t>migrolino Aarau AVA - Hintere Bahnhofstrasse 48 - 5000 Aarau - 104465</t>
  </si>
  <si>
    <t>Aarau Hintere Bahnhofstrasse 48 (MIGROLINO-SA-4797448)</t>
  </si>
  <si>
    <t>Jubin - Centre de formation n° 5</t>
  </si>
  <si>
    <t>migrolino Frenkendorf - Güterstrasse 1 - 4402 Frenkendorf - 104464</t>
  </si>
  <si>
    <t>Frenkendorf Güterstrasse 1 (MIGROLINO-SA-4797301)</t>
  </si>
  <si>
    <t>Jubin - Centre de formation n° 4</t>
  </si>
  <si>
    <t>Jubin - Centre de formation n° 3</t>
  </si>
  <si>
    <t>migrolino Brugg - Neumarkt 1 - 5200 Brugg - 104463</t>
  </si>
  <si>
    <t>Brugg Neumarkt 1 (MIGROLINO-SA-4797290)</t>
  </si>
  <si>
    <t>Jubin - Centre de formation n° 2</t>
  </si>
  <si>
    <t>migrolino Suhr - Bahnhofstrasse 1 - 5034 Suhr - 104435</t>
  </si>
  <si>
    <t>Suhr Bahnhofstrasse 1 (MIGROLINO-SA-4797206)</t>
  </si>
  <si>
    <t>migrolino Liestal - Bahnhofplatz 11 - 4410 Liestal - 104439</t>
  </si>
  <si>
    <t>Liestal Bahnhofplatz 11 (MIGROLINO-SA-4797203)</t>
  </si>
  <si>
    <t>Jubin - Centre de formation n° 1</t>
  </si>
  <si>
    <t>migrolino  Sierre - Place de la Gare 10 - 3960 Sierre - 104428</t>
  </si>
  <si>
    <t>Sierre Gare CFF 10 (MIGROLINO-SA-4797468)</t>
  </si>
  <si>
    <t>Jubin - Centre de formation n° 0</t>
  </si>
  <si>
    <t>migrolino Grenchen - Nordbahnhofstrasse 43 - 2540 Grenchen - 104449</t>
  </si>
  <si>
    <t>Grenchen Nordbahnhofstrasse 43 (MIGROLINO-SA-4797032)</t>
  </si>
  <si>
    <t>Jubin Frères SA - Domdidier - Testsite</t>
  </si>
  <si>
    <t>Jubin - Domdidier - Test</t>
  </si>
  <si>
    <t>migrolino Brügg - Bahnhofstrasse 8 - 2555 Brügg -104446</t>
  </si>
  <si>
    <t>Brügg Bahnhofstrasse 8 (MIGROLINO-SA-4797002)</t>
  </si>
  <si>
    <t>HOS Jubin Frères - Test</t>
  </si>
  <si>
    <t>Jubin Frères S.A. - Production</t>
  </si>
  <si>
    <t>Jubin Frères SA - Vy-d'Avenches 71 - 1564 Domdidier - 104498</t>
  </si>
  <si>
    <t>Jubin - Domdidier [142] (104498)</t>
  </si>
  <si>
    <t>migrolino Bern - Länggassstrasse 54 - 3012 Bern - 104431</t>
  </si>
  <si>
    <t>Bern Länggassstrasse 54 (MIGROLINO-SA-4797373)</t>
  </si>
  <si>
    <t>Mundin Samnaun AG</t>
  </si>
  <si>
    <t>Eurocenter Socar Tankstelle - Talstrasse 88 - 7563 Samnaun Dorf - 104349</t>
  </si>
  <si>
    <t>Mundin Samnaun AG - Talstrasse 88 (104349)</t>
  </si>
  <si>
    <t>migrolino Interlaken - Bahnhofstrasse 37 - 3800 Interlaken - 104433</t>
  </si>
  <si>
    <t>Interlaken Bahnhofstrasse 37 (MIGROLINO-SA-4797363)</t>
  </si>
  <si>
    <t>Mundin Samnaun AG - Talstrasse 85 (104402)</t>
  </si>
  <si>
    <t>Coop Pronto - Güterstrasse 10 - 4133 Pratteln - 101582</t>
  </si>
  <si>
    <t>Pratteln (SAP 4241)</t>
  </si>
  <si>
    <t>migrolino  Bolligen - Bolligenstrasse 90 - 3065 Bolligen - 104437</t>
  </si>
  <si>
    <t>Bolligen Bolligenstrasse 90 (MIGROLINO-SA-4797303)</t>
  </si>
  <si>
    <t>Bahnhofgarage Oberdiessbach AG</t>
  </si>
  <si>
    <t>Bahnhofgarage Oberdiessbach AG - Oberdiessbach (104167)</t>
  </si>
  <si>
    <t>migrolino Glarus - Schweizerhofstrasse 2 - 8750 Glarus - 104448</t>
  </si>
  <si>
    <t>Glarus Schweizerhofstrasse 2 (MIGROLINO-SA-4797385)</t>
  </si>
  <si>
    <t>migrolino  Bottmingen - Schlossgasse 10 - 4103 Bottmingen - 104443</t>
  </si>
  <si>
    <t>Bottmingen Schlossgasse 10 (MIGROLINO-SA-4797441)</t>
  </si>
  <si>
    <t>C Bauunternehmung Centorame AG</t>
  </si>
  <si>
    <t>C Bauunternehmung Centorame AG - Schmitten (101095)</t>
  </si>
  <si>
    <t>Garage Elite Courtepin SA</t>
  </si>
  <si>
    <t>Garage Elite SA - Route de Fribourg 67 - 1784 Courtepin - 103648</t>
  </si>
  <si>
    <t>Garage Elite Courtepin SA - Courtepin (103648)</t>
  </si>
  <si>
    <t>migrolino  Einsiedeln - Bahnhofplatz 1 - 8840 Einsiedeln - 104441</t>
  </si>
  <si>
    <t>Einsiedeln Bahnhofplatz 1 (MIGROLINO-SA-4797307)</t>
  </si>
  <si>
    <t>migrolino  Illnau-Effretikon - Bahnhofstrasse 20 - 8307 Illnau-Effretikon - 104440</t>
  </si>
  <si>
    <t>Illnau-Effretikon Bahnhofstrasse 20 (MIGROLINO-SA-4797305)</t>
  </si>
  <si>
    <t>Bolliger Tanken GmbH</t>
  </si>
  <si>
    <t>Bolliger Tanken GmbH - Oberkulm (103203)</t>
  </si>
  <si>
    <t>Büezer Bistro &amp; Tankstelle GmbH</t>
  </si>
  <si>
    <t>Büezer Bistro &amp; Tankstelle GmbH - Villmergen (104029)</t>
  </si>
  <si>
    <t>migrolino Oberrieden - Alte Landstrasse 37 - 8942 Oberrieden - 104451</t>
  </si>
  <si>
    <t>Oberrieden Alte Landstrasse 37 (MIGROLINO-SA-4797003)</t>
  </si>
  <si>
    <t>migrolino Bremgarten - Zürcherstrasse 8 - 5620 Bremgarten - 104450</t>
  </si>
  <si>
    <t>Bremgarten Zürcherstrasse 8 (MIGROLINO-SA-4797299)</t>
  </si>
  <si>
    <t>migrolino - Zürich - Niederdorfstrasse 88 - SA</t>
  </si>
  <si>
    <t>Zürich Niederdorfstrasse 88 (MIGROLINO-SA-4797452)</t>
  </si>
  <si>
    <t>HOS Bahnhofgarage Oberdiessbach AG</t>
  </si>
  <si>
    <t>migrolino Zürich Farbhof - Karstlernstrasse 2 - 8048 Zürich - 104480</t>
  </si>
  <si>
    <t>Zürich Karstlernstrasse 2 (MIGROLINO-SA-4797394)</t>
  </si>
  <si>
    <t>Transporte Zurbriggen GmbH</t>
  </si>
  <si>
    <t>Transporte Zurbriggen - Saas Grund (102037)</t>
  </si>
  <si>
    <t>migrolino ZH Langstrasse - Langstrasse 134 - 8004 Zürich - 104461</t>
  </si>
  <si>
    <t>Zürich Langstrasse 134 (MIGROLINO-SA-4797322)</t>
  </si>
  <si>
    <t>HOS C Bauunternehmung Centorame AG</t>
  </si>
  <si>
    <t>migrolino Zürich Affoltern - Riedenhaldenstrasse 282 - 8046 Zürich - 104460</t>
  </si>
  <si>
    <t>Zürich Riedenhaldenstrasse 282 (MIGROLINO-SA-4797033)</t>
  </si>
  <si>
    <t>HOS Garage Elite Courtepin SA</t>
  </si>
  <si>
    <t>HOS Bolliger Tanken GmbH</t>
  </si>
  <si>
    <t>migrolino Wetzikon - Mühlebühlstrasse 3 - 8623 Wetzikon - 104458</t>
  </si>
  <si>
    <t>Wetzikon Mühlebühlstrasse 3 (MIGROLINO-SA-4797291)</t>
  </si>
  <si>
    <t>migrolino Schlieren - Güterstrasse 3 - 8952 Schlieren - 104434</t>
  </si>
  <si>
    <t>Schlieren Güterstrasse 3 (MIGROLINO-SA-4797197)</t>
  </si>
  <si>
    <t>Coop Pronto - Gare de Sion - 1950 Sion - 104217</t>
  </si>
  <si>
    <t>Sion (SAP 5463)</t>
  </si>
  <si>
    <t>HOS Büezer Bistro &amp; Tankstelle GmbH</t>
  </si>
  <si>
    <t>migrolino  St.Moritz - Plazza de la Staziun - 7500 St. Moritz - 104438</t>
  </si>
  <si>
    <t>St.Moritz Plazza de la Staziun (MIGROLINO-SA-4797387)</t>
  </si>
  <si>
    <t>HOS Transporte Zurbriggen GmbH</t>
  </si>
  <si>
    <t>migrolino - Flawil - Bahnhofplatz 8 - 9230 Flawil - 104422</t>
  </si>
  <si>
    <t>Flawil Bahnhofplatz 8 (MIGROLINO-SA-4797006)</t>
  </si>
  <si>
    <t>Arnold Mühlebach</t>
  </si>
  <si>
    <t>Arnold Mühlebach - Bad Zurzach (102056)</t>
  </si>
  <si>
    <t>HOS Arnold Mühlebach</t>
  </si>
  <si>
    <t>migrolino Davos-Dorf - Bahnhofstrasse 8 - 7260 Davos Dorf - 104457</t>
  </si>
  <si>
    <t>Davos Bahnhofstrasse 8 (MIGROLINO-SA-4797380)</t>
  </si>
  <si>
    <t>Planned</t>
  </si>
  <si>
    <t>Erik Walther-Production</t>
  </si>
  <si>
    <t>0074-Petersaurach</t>
  </si>
  <si>
    <t>SPECIAL-PERMISSION-ErikWalther</t>
  </si>
  <si>
    <t>migrolino Schmerikon - Bahnhofstrasse 2 - 8716 Schmerikon - 104452</t>
  </si>
  <si>
    <t>Schmerikon Bahnhofstrasse 2 (MIGROLINO-SA-4797166)</t>
  </si>
  <si>
    <t>migrolino Samedan - Via Chantunela 11 - 7503 Samedan - 104483</t>
  </si>
  <si>
    <t>Samedan Via Chantunela 11 (MIGROLINO-SA-4797209)</t>
  </si>
  <si>
    <t>0085-Thuengen</t>
  </si>
  <si>
    <t>migrolino Winterthur - Marktgasse 7 - 8400 Winterthur - 104482</t>
  </si>
  <si>
    <t>Winterthur Marktgasse 7 (MIGROLINO-SA-4797396)</t>
  </si>
  <si>
    <t>0087-Burgbernheim</t>
  </si>
  <si>
    <t>migrolino Dübendorf SBB - Bettlistrasse 3 - 8600 Dübendorf - 104481</t>
  </si>
  <si>
    <t>Dübendorf Bettlistrasse 3 (MIGROLINO-SA-4797313)</t>
  </si>
  <si>
    <t>Coop Pronto - Fabrikstrasse 10 - 4056 Basel - 101581</t>
  </si>
  <si>
    <t>Basel (SAP 4520)</t>
  </si>
  <si>
    <t>0099-Arnstein</t>
  </si>
  <si>
    <t>Mario von Arx-Legoll</t>
  </si>
  <si>
    <t>Mario von Arx-Legoll - Neuendorf (104026)</t>
  </si>
  <si>
    <t>migrolino Sargans - Bahnhofpark - 7320 Sargans - 104476</t>
  </si>
  <si>
    <t>Sargans Bahnhofpark (MIGROLINO-SA-4797210)</t>
  </si>
  <si>
    <t>HOS Mario von Arx-Legoll</t>
  </si>
  <si>
    <t>migrolino Gossau - Bahnhofplatz 2 - 9200 Gossau - 104456</t>
  </si>
  <si>
    <t>Gossau Bahnhofplatz 2 (MIGROLINO-SA-4797314)</t>
  </si>
  <si>
    <t>Gustoil Schüpbach</t>
  </si>
  <si>
    <t>Gustoil Schüpbach - Langenthal (104490)</t>
  </si>
  <si>
    <t>Coop Pronto - Espace de l'Europe - 2000 Neuchâtel - 101503</t>
  </si>
  <si>
    <t>Neuchâtel (SAP 3723)</t>
  </si>
  <si>
    <t>migrolino Hinwil - Bahnhofplatz 1 - 8340 Hinwil - 104454</t>
  </si>
  <si>
    <t>Hinwil Bahnhofplatz 1 (MIGROLINO-SA-4797304)</t>
  </si>
  <si>
    <t>migrolino  Bischofszell - Poststrasse 3 - 9220 Bischofszell - 104484</t>
  </si>
  <si>
    <t>Bischofszell Poststrasse 3 (MIGROLINO-SA-4797215)</t>
  </si>
  <si>
    <t>HOS Gustoil Schüpbach</t>
  </si>
  <si>
    <t>migrolino - Schaffhausen - Schwertstrasse 4 - SA</t>
  </si>
  <si>
    <t>Schaffhausen Schwertstrasse 4 (MIGROLINO-SA-4797381)</t>
  </si>
  <si>
    <t>Bahnhof-Garage Giuseppe Quaratiello</t>
  </si>
  <si>
    <t>Bahnhof-Garage Giuseppe Quaratiello - Wikon (102054)</t>
  </si>
  <si>
    <t>migrolino Pfäffikon ZH - Bahnhofstrasse 11 - 8330 Pfäffikon - 104445</t>
  </si>
  <si>
    <t>Pfäffikon ZH Bahnhofstrasse 11 (MIGROLINO-SA-4797321)</t>
  </si>
  <si>
    <t>HOS Bahnhof-Garage Giuseppe Quaratiello</t>
  </si>
  <si>
    <t>7 Day-Shop AG</t>
  </si>
  <si>
    <t>CiRRUSFeatureFlag:UseEnginePos</t>
  </si>
  <si>
    <t>7 DAY-SHOP / Zürich-Schifflände (104489)</t>
  </si>
  <si>
    <t>migrolino Romanshorn - Mittlere Gasse 5 - 8590 Romanshorn - 104444</t>
  </si>
  <si>
    <t>Romanshorn Mittlere Gasse 5 (MIGROLINO-SA-4797395)</t>
  </si>
  <si>
    <t>Rüegsegger Installationen AG</t>
  </si>
  <si>
    <t>Rüegsegger Installationen AG - Aeschau (101931)</t>
  </si>
  <si>
    <t>migrolino Frauenfeld - Bahnhofplatz 75 - 8500 Frauenfeld - 104453</t>
  </si>
  <si>
    <t>Frauenfeld Bahnhofplatz 75 (MIGROLINO-SA-4797014)</t>
  </si>
  <si>
    <t>Coop Pronto - Dübendorferstrasse 447 - 8051 Zürich-Stettbach - 101598</t>
  </si>
  <si>
    <t>ZÃ¼rich-Stettbach (SAP 4561)</t>
  </si>
  <si>
    <t>migrolino Binningen - Hauptstrasse 129 - 4102 Binningen - 104479</t>
  </si>
  <si>
    <t>Binningen Hauptstrasse 129 (MIGROLINO-SA-4797034)</t>
  </si>
  <si>
    <t>HOS Rüegsegger Installationen AG</t>
  </si>
  <si>
    <t>migrolino  Zürich-Hauptbahnhof - Hauptbahnhof Nordtrakt - 8001 Zürich - 104432</t>
  </si>
  <si>
    <t>Zürich-HB Hauptbahnhof Nordtrakt (MIGROLINO-SA-4797011)</t>
  </si>
  <si>
    <t>Verein für Abfallentsorgung</t>
  </si>
  <si>
    <t>Verein für Abfallentsorgung - Buchs (104419)</t>
  </si>
  <si>
    <t>HOS Verein für Abfallentsorgung</t>
  </si>
  <si>
    <t>BIC-QS</t>
  </si>
  <si>
    <t>Fortech Testsite-808080</t>
  </si>
  <si>
    <t>Foretech Test Site (BICQS)</t>
  </si>
  <si>
    <t>Midland Tankstelle</t>
  </si>
  <si>
    <t>Midland Tankstelle - Unterentfelden (103899)</t>
  </si>
  <si>
    <t>HOS Midland Tankstelle</t>
  </si>
  <si>
    <t>0035-Ködnitz</t>
  </si>
  <si>
    <t>Staging</t>
  </si>
  <si>
    <t>MIM - Schulung Raum 2 Filiale 10</t>
  </si>
  <si>
    <t>Schulung Raum 2 Filiale 10</t>
  </si>
  <si>
    <t>0036-Kleinostheim</t>
  </si>
  <si>
    <t>SiteType:Fuel,SiteType:Shop,SPECIAL-PERMISSION-ErikWalther</t>
  </si>
  <si>
    <t>MIM - Schulung Raum 2 Filiale 9</t>
  </si>
  <si>
    <t>Schulung Raum 2 Filiale 9</t>
  </si>
  <si>
    <t>MIM - Schulung Raum 2 Filiale 8</t>
  </si>
  <si>
    <t>Schulung Raum 2 Filiale 8</t>
  </si>
  <si>
    <t>MIM - Schulung Raum 2 Filiale 7</t>
  </si>
  <si>
    <t>Schulung Raum 2 Filiale 7</t>
  </si>
  <si>
    <t>MIM - Schulung Raum 2 Filiale 6</t>
  </si>
  <si>
    <t>Schulung Raum 2 Filiale 6</t>
  </si>
  <si>
    <t>MIM - Schulung Raum 2 Filiale 5</t>
  </si>
  <si>
    <t>Schulung Raum 2 Filiale 5</t>
  </si>
  <si>
    <t>MIM - Schulung Raum 2 Filiale 4</t>
  </si>
  <si>
    <t>Schulung Raum 2 Filiale 4</t>
  </si>
  <si>
    <t>Coop Pronto - Bursins Lac - 1183 Bursins - 101418</t>
  </si>
  <si>
    <t>Bursins (SAP 3524)</t>
  </si>
  <si>
    <t>Rothenburg-BiCA QS-CiRRUS-BiCA Offline (E3F4)</t>
  </si>
  <si>
    <t>NAC (Port Security) By BiCA</t>
  </si>
  <si>
    <t>BiCA Offline</t>
  </si>
  <si>
    <t>Garage Maison Blanche SA</t>
  </si>
  <si>
    <t>Businesspartner:Shell</t>
  </si>
  <si>
    <t>Station-Service Maison SA - Chancy (102015)</t>
  </si>
  <si>
    <t>HOS Garage Maison Blanche SA</t>
  </si>
  <si>
    <t>Rothenburg-BiCA QS-CiRRUS-BiCA Online (G1G2)</t>
  </si>
  <si>
    <t>BiCA Online</t>
  </si>
  <si>
    <t>LAVEBA-Production</t>
  </si>
  <si>
    <t>Agrola Tankstelle - Staatsstrasse 5 - 9470 Werdenberg - 104334</t>
  </si>
  <si>
    <t>693 - Werdenberg Shop</t>
  </si>
  <si>
    <t>LAVEBA Shop - Mühleäulistrasse 1 - 9471 Buchs SG 1 - 101232</t>
  </si>
  <si>
    <t>692 - Buchs</t>
  </si>
  <si>
    <t>MIM - Schulung Raum 2 Filiale 0</t>
  </si>
  <si>
    <t>Schulung Raum 2 Filiale 0</t>
  </si>
  <si>
    <t>Coop Pronto - Birmensdorferstrasse 55 - 8004 Zürich-Wiedikon - 101455</t>
  </si>
  <si>
    <t>Zürich-Wiedikon (SAP 3517)</t>
  </si>
  <si>
    <t>MIM - Schulung Raum 2 Filiale 3</t>
  </si>
  <si>
    <t>Schulung Raum 2 Filiale 3</t>
  </si>
  <si>
    <t>LAVEBA Shop - Neue Industriestrasse 77 - 9602 Bazenheid - 104278</t>
  </si>
  <si>
    <t>691 - Bazenheid</t>
  </si>
  <si>
    <t>LANDI - Baumgartenstrasse 1a - 9430 St. Margrethen 104332</t>
  </si>
  <si>
    <t>690 - St. Margrethen Shop</t>
  </si>
  <si>
    <t>MIM - Schulung Raum 2 Filiale 2</t>
  </si>
  <si>
    <t>Schulung Raum 2 Filiale 2</t>
  </si>
  <si>
    <t>LAVEBA Shop Arbon - Im Pünt 2 - 9320 Frasnacht - 103234</t>
  </si>
  <si>
    <t>689 - Frasnacht</t>
  </si>
  <si>
    <t>MIM - Schulung Raum 2 Filiale 1</t>
  </si>
  <si>
    <t>Schulung Raum 2 Filiale 1</t>
  </si>
  <si>
    <t>Migrol Service - Kirchenfeldstrasse 34 - 3250 Lyss - 104378</t>
  </si>
  <si>
    <t>Lyss (MIGROL-ST-4167451)</t>
  </si>
  <si>
    <t>LAVEBA Buriet-Thal - Burietstrasse 11 - 9425 Buriet-Thal - 104373</t>
  </si>
  <si>
    <t>688 - Thal Shop</t>
  </si>
  <si>
    <t>LAVEBA Shop - St. Gallerstrasse 25 - 9100 Herisau - 103652</t>
  </si>
  <si>
    <t>687 - Herisau</t>
  </si>
  <si>
    <t>Migrol Station - Industriestrassse 160/162 - 8957 Spreitenbach - 104353</t>
  </si>
  <si>
    <t>Spreitenbach (MIGROL-ST-4167401)</t>
  </si>
  <si>
    <t>Laveba Shop Siebnen-Wangen - Bahnhofstrasse 65 - 8854 Siebnen - 104403</t>
  </si>
  <si>
    <t>685 - Siebnen</t>
  </si>
  <si>
    <t>Migrol Service - Bahnhofstrasse 95 - 4914 Roggwil - 104377</t>
  </si>
  <si>
    <t>Migrol Tankstelle - Grindelwaldstrasse 96 - Grindelwald - 104370</t>
  </si>
  <si>
    <t>Grindelwald, Grindelwaldstrasse 96 (MIGROL-ST-4166686)</t>
  </si>
  <si>
    <t>Landi Wangen - Hämmerli 15 - Wangen SZ - 104336</t>
  </si>
  <si>
    <t>667 - Wangen</t>
  </si>
  <si>
    <t>Migrol Service - Döttingerstrasse 1 - Würenlingen - 104355</t>
  </si>
  <si>
    <t>Würenlingen (MIGROL-ST-4167461)</t>
  </si>
  <si>
    <t>LAVEBA Biberbrugg - Schwyzerstrasse 4 - 8836 Biberbrugg - 104333</t>
  </si>
  <si>
    <t>658 - Biberbrugg Shop</t>
  </si>
  <si>
    <t>Test-Tav123</t>
  </si>
  <si>
    <t>PreviewLocationDE</t>
  </si>
  <si>
    <t>PreviewLocationDE 9001</t>
  </si>
  <si>
    <t>Test Site on Production 9001</t>
  </si>
  <si>
    <t>QS-PerformanceTest Sub Site (300/300)</t>
  </si>
  <si>
    <t>LAVEBA Shop - Ebni 18 - 9053 Teufen AR - 104205</t>
  </si>
  <si>
    <t>628 - Teufen</t>
  </si>
  <si>
    <t>LV-St. Gallen - Mitteldorfstrasse 82 - 9642 Ebnat-Kappel - 103079</t>
  </si>
  <si>
    <t>622 - Ebnat-Kappel</t>
  </si>
  <si>
    <t>Migros Genossenschaft Zürich - Alte Landstrasse 130 - 8800 Thalwil - 104356</t>
  </si>
  <si>
    <t>MG-Thalwil, Alte Landstrasse (MIGROS-ST-4163210)</t>
  </si>
  <si>
    <t>QS-PerformanceTest Sub Site (299/300)</t>
  </si>
  <si>
    <t>QS-PerformanceTest Sub Site (298/300)</t>
  </si>
  <si>
    <t>MIGROS Produktiv</t>
  </si>
  <si>
    <t>Migros Genossenschaft Zürich - 104367</t>
  </si>
  <si>
    <t>E-Mobility:TRUE</t>
  </si>
  <si>
    <t>Migros Genossenschaft Zürich</t>
  </si>
  <si>
    <t>Agrola Tankstelle - Kirchgass 26 - 9442 Berneck - 102717</t>
  </si>
  <si>
    <t>616 - Berneck</t>
  </si>
  <si>
    <t>Migros Genossenschaft Wallis - 104366</t>
  </si>
  <si>
    <t>Migros Genossenschaft Wallis</t>
  </si>
  <si>
    <t>BV Landi March - Bahnhofstrasse 55 - 8854 Siebnen - 104117</t>
  </si>
  <si>
    <t>615 - Siebnen</t>
  </si>
  <si>
    <t>QS-PerformanceTest Sub Site (297/300)</t>
  </si>
  <si>
    <t>QS-PerformanceTest Sub Site (296/300)</t>
  </si>
  <si>
    <t>Autohaus AG - Dorfstrasse 21 - 9525 Lenggenwil - 103188</t>
  </si>
  <si>
    <t>597 - Lenggenwil</t>
  </si>
  <si>
    <t>Migros Genossenschaft Waadt - 104365</t>
  </si>
  <si>
    <t>Migros Genossenschaft Waadt</t>
  </si>
  <si>
    <t>Migros Genossenschaft Tessin - 104364</t>
  </si>
  <si>
    <t>Migros Genossenschaft Tessin</t>
  </si>
  <si>
    <t>QS-PerformanceTest Sub Site (295/300)</t>
  </si>
  <si>
    <t>Schmidt AG - Sandackerstrasse - 9245 Oberbüren - 103885</t>
  </si>
  <si>
    <t>594 - Oberbüren</t>
  </si>
  <si>
    <t>Migros Genossenschaft Ostschweiz - 104363</t>
  </si>
  <si>
    <t>Migros Genossenschaft Ostschweiz</t>
  </si>
  <si>
    <t>Coop Pronto - Basel SBB Bhf (Passerelle) Güterstrasse 115 - 4053 Basel - 101492</t>
  </si>
  <si>
    <t>Basel (SAP 3658)</t>
  </si>
  <si>
    <t>QS-PerformanceTest Sub Site (294/300)</t>
  </si>
  <si>
    <t>LAVEBA Shop Abtwil - Bildstrasse 1 - 9015 St. Gallen - 103810</t>
  </si>
  <si>
    <t>591 - Abtwil Shop</t>
  </si>
  <si>
    <t>QS-PerformanceTest Sub Site (293/300)</t>
  </si>
  <si>
    <t>Coop Pronto - Basel Güterstrasse 257 - 4053 Basel - 101429</t>
  </si>
  <si>
    <t>Basel (SAP 3513)</t>
  </si>
  <si>
    <t>Landi Glarnerland AG - Hauptstrasse 95 - 8756 Mitlödi - 103754</t>
  </si>
  <si>
    <t>586 - Mitlödi</t>
  </si>
  <si>
    <t>Migros Genossenschaft Neuenburg-Freiburg - 104362</t>
  </si>
  <si>
    <t>Migros Genossenschaft Neuenburg-Freiburg</t>
  </si>
  <si>
    <t>Coop Pronto - Basel Centralhalle Ok &amp; Co Streitgasse 20 - 4051 Basel - 101473</t>
  </si>
  <si>
    <t>Basel (SAP 3533)</t>
  </si>
  <si>
    <t>QS-PerformanceTest Sub Site (292/300)</t>
  </si>
  <si>
    <t>LAVEBA Shop - Wilerstrasse 87 - 9630 Wattwil - 103698</t>
  </si>
  <si>
    <t>573 - Wattwil</t>
  </si>
  <si>
    <t>Migros Genossenschaft Luzern - 104361</t>
  </si>
  <si>
    <t>Migros Genossenschaft Luzern</t>
  </si>
  <si>
    <t>Migros Genossenschaft Genf - 104360</t>
  </si>
  <si>
    <t>Migros Genossenschaft Genf</t>
  </si>
  <si>
    <t>QS-PerformanceTest Sub Site (291/300)</t>
  </si>
  <si>
    <t>Landi Säntis AG - Hauptstrasse 10 - 9105 Schönengrund - 103640</t>
  </si>
  <si>
    <t>568 - Schönengrund</t>
  </si>
  <si>
    <t>LAVEBA Shop - Appenzellerstrasse 2 - 9056 Gais - 103597</t>
  </si>
  <si>
    <t>563 - Gais</t>
  </si>
  <si>
    <t>QS-PerformanceTest Sub Site (290/300)</t>
  </si>
  <si>
    <t>Migros Genossenschaft Bund - 104359</t>
  </si>
  <si>
    <t>Migros Genossenschaft Bund</t>
  </si>
  <si>
    <t>Eschi Kiosk Laveba - Dorfstrasse 17 - 8733 Eschenbach SG - 103676</t>
  </si>
  <si>
    <t>686 - Eschenbach</t>
  </si>
  <si>
    <t>QS-PerformanceTest Sub Site (289/300)</t>
  </si>
  <si>
    <t>Migros Genossenschaft Basel - 104358</t>
  </si>
  <si>
    <t>Migros Genossenschaft Basel</t>
  </si>
  <si>
    <t>QS-PerformanceTest Sub Site (288/300)</t>
  </si>
  <si>
    <t>Agrola Tankstelle - Oberdorfstrasse 61 - 8853 Lachen SZ - 103907</t>
  </si>
  <si>
    <t>527 - Lachen</t>
  </si>
  <si>
    <t>Coop Pronto - Bahnhofstrasse 46 - 6440 Brunnen - 101527</t>
  </si>
  <si>
    <t>Brunnen (SAP 3793)</t>
  </si>
  <si>
    <t>Coop Pronto - Bahnhofstrasse 29 - 8200 Schaffhausen - 104146</t>
  </si>
  <si>
    <t>Schaffhausen (SAP 5232)</t>
  </si>
  <si>
    <t>QS-PerformanceTest Sub Site (287/300)</t>
  </si>
  <si>
    <t>Agrola Tankstelle Klösterli - Klösterli 2 - 9315 Winden - 103085</t>
  </si>
  <si>
    <t>510 - Egnach</t>
  </si>
  <si>
    <t>QS-PerformanceTest Sub Site (286/300)</t>
  </si>
  <si>
    <t>LAVEBA Shop - Buchserstrasse 2 - 9469 Haag (Rheintal) - 103598</t>
  </si>
  <si>
    <t>None</t>
  </si>
  <si>
    <t>504 - Haag</t>
  </si>
  <si>
    <t>Coop Pronto - Bahnhofstrasse 16 - 3250 Lyss - 101551</t>
  </si>
  <si>
    <t>Lyss (SAP 3790)</t>
  </si>
  <si>
    <t>Coop Pronto - Bahnhofstrasse 8 - 8810 Horgen - 101589</t>
  </si>
  <si>
    <t>Horgen (SAP 4529)</t>
  </si>
  <si>
    <t>Migros Genossenschaft Aare - 104357</t>
  </si>
  <si>
    <t>Migros Genossenschaft Aare</t>
  </si>
  <si>
    <t>DELUCA AG - Hauptstrasse 77 - 9477 Trübbach - 101148</t>
  </si>
  <si>
    <t>471 - Trübbach</t>
  </si>
  <si>
    <t>QS-PerformanceTest Sub Site (285/300)</t>
  </si>
  <si>
    <t>Garage Kühnis AG - Staatsstrasse 57 - 9472 Grabs - 102747</t>
  </si>
  <si>
    <t>450 - Grabs</t>
  </si>
  <si>
    <t>HOS MIGROS</t>
  </si>
  <si>
    <t>QS-PerformanceTest Sub Site (284/300)</t>
  </si>
  <si>
    <t>Coop Pronto - Bahnhofstrasse 2 - 8952 Schlieren - 104289</t>
  </si>
  <si>
    <t>Schlieren (SAP 5651)</t>
  </si>
  <si>
    <t>Coop Pronto - Bahnhofsplatz 3 - 7000 Chur - 101530</t>
  </si>
  <si>
    <t>Chur (SAP 3721)</t>
  </si>
  <si>
    <t>Migros - Roosstrasse 569 - Wollerau - 104351</t>
  </si>
  <si>
    <t>QS-PerformanceTest Sub Site (283/300)</t>
  </si>
  <si>
    <t>LAVEBA Shop - Uznacherstrasse - 8732 Neuhaus SG - 102736</t>
  </si>
  <si>
    <t>449 - Neuhaus</t>
  </si>
  <si>
    <t>Migros Genossenschaft Zürich - Roosstrasse 23 - Wollerau - 104351</t>
  </si>
  <si>
    <t>MG-Zürich Wollerau, Roosstrasse 23 (MIGROS-ST-4163210)</t>
  </si>
  <si>
    <t>Zentrum Garage Bischofszell AG - Steigstrasse 8 - 9220 Bischofszell - 102017</t>
  </si>
  <si>
    <t>438 - Bischofszell</t>
  </si>
  <si>
    <t>Coop Pronto - Bahnhofsplatz - 3930 Visp - 101555</t>
  </si>
  <si>
    <t>Visp (SAP 4131)</t>
  </si>
  <si>
    <t>Migros - Industriestrasse 10 - Schönbühl-Urtenen - 104352</t>
  </si>
  <si>
    <t>MG-Aare Schönbühl, Industriestrasse 10 (MIGROS-ST-4163201)</t>
  </si>
  <si>
    <t>QS-PerformanceTest Sub Site (282/300)</t>
  </si>
  <si>
    <t>Migros Genossenschaft Aare - Industriestrasse 10 - Schönbühl - 104352</t>
  </si>
  <si>
    <t>migrolino - Zürich - Waffenplatzstrasse 40 - 8002 Zürich - 104436</t>
  </si>
  <si>
    <t>Zürich Waffenplatzstrasse 40 (MIGROLINO-SA-4797030)</t>
  </si>
  <si>
    <t>QS-PerformanceTest Sub Site (281/300)</t>
  </si>
  <si>
    <t>Coop Pronto - Bahnhofplatz 11 - 8953 Dietikon - 101397</t>
  </si>
  <si>
    <t>Dietikon (SAP 3506)</t>
  </si>
  <si>
    <t>Agrola Tankstelle - Wilerstrasse 464 - 9606 Bütschwil - 102611</t>
  </si>
  <si>
    <t>430 - Bütschwil</t>
  </si>
  <si>
    <t>LAVEBA Shop - Voralbergerstrasse 102 - 9486 Schaanwald FL - 102549</t>
  </si>
  <si>
    <t>422 - Schaanwald</t>
  </si>
  <si>
    <t>migrolino Winterthur - Bahnhofplatz 15/17 -8400 Winterthur - 104475</t>
  </si>
  <si>
    <t>Winterthur Bahnhofplatz 15/17 (MIGROLINO-SA-4797029)</t>
  </si>
  <si>
    <t>QS-PerformanceTest Sub Site (280/300)</t>
  </si>
  <si>
    <t>Coop Pronto - Bahnhofplatz 4 - 2502 Biel/Bienne - 101591</t>
  </si>
  <si>
    <t>Biel/Bienne (SAP 4107)</t>
  </si>
  <si>
    <t>Coop Pronto - Bahnhofplatz 1 - 5610 Wohlen AG - 101552</t>
  </si>
  <si>
    <t>Wohlen AG (SAP 4190)</t>
  </si>
  <si>
    <t>QS-PerformanceTest Sub Site (279/300)</t>
  </si>
  <si>
    <t>Landw. Genossenschaft Grabs - Spitalstrasse 31 - 9472 Grabs - 102512</t>
  </si>
  <si>
    <t>420 - Grabs</t>
  </si>
  <si>
    <t>migrolino Schwerzenbach - Bahnhofstrasse 7A - 8603 Schwerzenbach - 104455</t>
  </si>
  <si>
    <t>Schwerzenbach Bahnhofstrasse 7A (MIGROLINO-SA-4797019)</t>
  </si>
  <si>
    <t>Zentrum Garage - Hauptstrasse 87 - 9113 Degersheim - 102195</t>
  </si>
  <si>
    <t>391 - Degersheim</t>
  </si>
  <si>
    <t>gooods Winterthur Bahnhofplatz - 104368</t>
  </si>
  <si>
    <t>Winterthur Bahnhofplatz 6 (GOOODS-SA-4797455)</t>
  </si>
  <si>
    <t>Coop Pronto - Bahnhofplatz 1 - 4410 Liestal - 101404</t>
  </si>
  <si>
    <t>Liestal (SAP 3507)</t>
  </si>
  <si>
    <t>QS-PerformanceTest Sub Site (278/300)</t>
  </si>
  <si>
    <t>Coop Pronto - Bahnhof SBB - 7320 Sargans - 104216</t>
  </si>
  <si>
    <t>Sargans (SAP 5461)</t>
  </si>
  <si>
    <t>QS-PerformanceTest Sub Site (277/300)</t>
  </si>
  <si>
    <t>migrolino Zurich - Lagerstrasse 101 - 8004 Zürich - 104430</t>
  </si>
  <si>
    <t>Zurich Lagerstrasse 101 (MIGROLINO-SA-4797393)</t>
  </si>
  <si>
    <t>Landi Säntis AG - Bahnhofplatz 2 - 9122 Mogelsberg - 103655</t>
  </si>
  <si>
    <t>336 - Mogelsberg</t>
  </si>
  <si>
    <t>QS-PerformanceTest Sub Site (276/300)</t>
  </si>
  <si>
    <t>Coop Pronto - Bahnhof SBB - 6460 Altdorf UR - 101575</t>
  </si>
  <si>
    <t>Altdorf UR (SAP 4100)</t>
  </si>
  <si>
    <t>LAVEBA Shop - St. Galler Strasse 20 - 9524 Zuzwil SG - 101115</t>
  </si>
  <si>
    <t>335 - Zuzwil</t>
  </si>
  <si>
    <t>migrolino - Glattbrugg - Europastrasse 3 - SA</t>
  </si>
  <si>
    <t>migrolino SA,SPECIAL-PERMISSION-BITHAWK-MIGROLINO</t>
  </si>
  <si>
    <t>Retired - Glattbrugg Europastrasse 3 (MIGROLINO-SA-4797382)</t>
  </si>
  <si>
    <t>migrolino  Wettingen - Güterstrasse 8 - 5430 Wettingen - 104478</t>
  </si>
  <si>
    <t>Wettingen Güterstrasse 8 (MIGROLINO-SA-4797217)</t>
  </si>
  <si>
    <t>Coop Pronto - Badenerstrasse 812 - 8048 Zürich - 101346</t>
  </si>
  <si>
    <t>Zürich (SAP 5620)</t>
  </si>
  <si>
    <t>Landi Goldingen - Laupenstrasse 2 - 8638 Goldingen - 101862</t>
  </si>
  <si>
    <t>290 - Goldingen</t>
  </si>
  <si>
    <t>QS-PerformanceTest Sub Site (275/300)</t>
  </si>
  <si>
    <t>QS-PerformanceTest Sub Site (274/300)</t>
  </si>
  <si>
    <t>Agrola Tankstelle Fly - 8872 Weesen - 101814</t>
  </si>
  <si>
    <t>272 - Weesen</t>
  </si>
  <si>
    <t>Coop Pronto - Badenerstrasse 120 - 8004 Zürich - 101479</t>
  </si>
  <si>
    <t>Zürich (SAP 3565)</t>
  </si>
  <si>
    <t>migrolino Olten - Tannwaldstrasse 48 - 4600 Olten - 104477</t>
  </si>
  <si>
    <t>Olten Tannwaldstrasse 48 (MIGROLINO-SA-4797016)</t>
  </si>
  <si>
    <t>Landi Mörschwil Genossenschaft - St. Gallerstrasse 17 - 9402 Mörschwil - 102317</t>
  </si>
  <si>
    <t>268 - Mörschwil</t>
  </si>
  <si>
    <t>migrolino Railway Station SA - Kaiserstuhlstrasse 25 - 8154 Oberglatt - 104447</t>
  </si>
  <si>
    <t>Oberglatt Railway station (MIGROLINO-SA-4797005)</t>
  </si>
  <si>
    <t>QS-PerformanceTest Sub Site (273/300)</t>
  </si>
  <si>
    <t>migrolino  Aarau - Bahnhofplatz 4 - 5000 Aarau - 104429</t>
  </si>
  <si>
    <t>Aarau Bahnhofplatz 4 (MIGROLINO-SA-4797189)</t>
  </si>
  <si>
    <t>QS-PerformanceTest Sub Site (272/300)</t>
  </si>
  <si>
    <t>LAVEBA Shop - Staatsstrasse 10 - 8890 Flums - 102696</t>
  </si>
  <si>
    <t>265 - Flums</t>
  </si>
  <si>
    <t>LAVEBA Shop Nesslau - Toggenburgerstrasse 40 - 9652 Neu St. Johann - 104230</t>
  </si>
  <si>
    <t>262 - Nesslau-Krummenau</t>
  </si>
  <si>
    <t>Coop Pronto - Avenue des Alpes 80 - 1820 Montreux - 101245</t>
  </si>
  <si>
    <t>Montreux (SAP 3521)</t>
  </si>
  <si>
    <t>QS-PerformanceTest Sub Site (271/300)</t>
  </si>
  <si>
    <t>Migrol Station - Chemin de la Biole 12 - 1860 Aigle - 104344</t>
  </si>
  <si>
    <t>Aigle, Chemin de la Biole (MIGROL-ST-4166599)</t>
  </si>
  <si>
    <t>QS-PerformanceTest Sub Site (270/300)</t>
  </si>
  <si>
    <t>gooods Zürich Tiefenbrunnen - 104369</t>
  </si>
  <si>
    <t>Zürich Tiefenbrunnen Bellerivestrasse 251 (GOOODS-SA-4797408)</t>
  </si>
  <si>
    <t>Landi Goldach - Sulzstrasse 21 - 9403 Goldach - 103223</t>
  </si>
  <si>
    <t>259 - Goldach</t>
  </si>
  <si>
    <t>Landi Einsiedeln AG - Schnabelsbergstrasse 21 - 8840 Einsiedeln - 102063</t>
  </si>
  <si>
    <t>258 - Einsiedeln</t>
  </si>
  <si>
    <t>QS-PerformanceTest Sub Site (269/300)</t>
  </si>
  <si>
    <t>QS-PerformanceTest Sub Site (268/300)</t>
  </si>
  <si>
    <t>Landw. Genossenschaft - Neubrunn - 9304 Bernhardzell - 102230</t>
  </si>
  <si>
    <t>257 - Bernhardzell</t>
  </si>
  <si>
    <t>migrolino - St. Gallen - Oberer Graben 3 - SA</t>
  </si>
  <si>
    <t>St. Gallen Oberer Graben 3 (MIGROLINO-SA-4797310)</t>
  </si>
  <si>
    <t>Landi Säntis AG - Herisauerstrasse 28 - 9107 Urnäsch - 103654</t>
  </si>
  <si>
    <t>248 - Urnäsch</t>
  </si>
  <si>
    <t>Coop Pronto - Autostrada Area di servizio - 6513 Monte Carasso - 101532</t>
  </si>
  <si>
    <t>Italian</t>
  </si>
  <si>
    <t>Monte Carasso (SAP 3854)</t>
  </si>
  <si>
    <t>QS-PerformanceTest Sub Site (267/300)</t>
  </si>
  <si>
    <t>Migrol Service - Obernauerstrasse 47 - Kriens - 103270</t>
  </si>
  <si>
    <t>Kriens, Obernauerstrasse 47 (MIGROL-ST-4167117)</t>
  </si>
  <si>
    <t>Migrol Tankstelle - Petinescastrasse 10 - 2557 Studen BE - 104326</t>
  </si>
  <si>
    <t>Studen Petinescastrasse (MIGROL-ST-4167388)</t>
  </si>
  <si>
    <t>QS-PerformanceTest Sub Site (266/300)</t>
  </si>
  <si>
    <t>SOBI AG - Hauptwilerstrasse 17 - 9205 Waldkirch - 102313</t>
  </si>
  <si>
    <t>216 - Waldkirch</t>
  </si>
  <si>
    <t>Coop Pronto - Autostrada Area di servizio - 6500 Bellinzona - 101533</t>
  </si>
  <si>
    <t>Bellinzona (SAP 3855)</t>
  </si>
  <si>
    <t>Agrola Tankstelle - Hauptstrasse 23 - 9526 Zuckenriet - 102327</t>
  </si>
  <si>
    <t>146 - Niederhelfenschwil</t>
  </si>
  <si>
    <t>Migrol Service - Route de la Vallée 7 - 1180 Rolle - 103285</t>
  </si>
  <si>
    <t>Rolle, rte de la Vallée 11 (MIGROL-ST-4167155)</t>
  </si>
  <si>
    <t>QS-PerformanceTest Sub Site (265/300)</t>
  </si>
  <si>
    <t>Coop Pronto - Autobahnraststätte Luzern-Neuenkirch - 6023 Rothenburg - 101507</t>
  </si>
  <si>
    <t>Rothenburg (SAP 3722)</t>
  </si>
  <si>
    <t>QS-PerformanceTest Sub Site (264/300)</t>
  </si>
  <si>
    <t>Coop Pronto - Autobahnraststätte - 8310 Kemptthal - 101419</t>
  </si>
  <si>
    <t>Kemptthal (SAP 3510)</t>
  </si>
  <si>
    <t>Agrola Shop - Romanshornerstrasse 51 - 9303 Wittenbach - 101126</t>
  </si>
  <si>
    <t>145 - Wittenbach</t>
  </si>
  <si>
    <t>Migrol Service - Kradolfstrasse 54 - 8583 Sulgen - 104297</t>
  </si>
  <si>
    <t>Sulgen (MIGROL-ST-4167386)</t>
  </si>
  <si>
    <t>QS-PerformanceTest Sub Site (263/300)</t>
  </si>
  <si>
    <t>Migrol Service - En Chamard 16 - Montagny-Yverdon - 103277</t>
  </si>
  <si>
    <t>Montagny/Yverdon (MIGROL-ST-4167103)</t>
  </si>
  <si>
    <t>Landi Wil - Churfirstenstrasse 3 - 9500 Wil SG - 101813</t>
  </si>
  <si>
    <t>144 - Wil</t>
  </si>
  <si>
    <t>GBT Garage Cadosch - Dorf 2 - 9057 Weissbad - 102316</t>
  </si>
  <si>
    <t>143 - Weissbad</t>
  </si>
  <si>
    <t>Migrol Auto Service - Rue de Lausanne 100 - 1950 Sion - 103284</t>
  </si>
  <si>
    <t>Sion (MIGROL-ST-4167112)</t>
  </si>
  <si>
    <t>QS-PerformanceTest Sub Site (262/300)</t>
  </si>
  <si>
    <t>Garage Heussi - Ennetlintherstrasse 24 - 8783 Linthal - 102641</t>
  </si>
  <si>
    <t>429 - Linthal</t>
  </si>
  <si>
    <t>Migrol Auto Service - Fellerstrasse 33 - 3027 Bern - 103324</t>
  </si>
  <si>
    <t>Bern Fellerstrasse (MIGROL-ST-4167119)</t>
  </si>
  <si>
    <t>QS-PerformanceTest Sub Site (261/300)</t>
  </si>
  <si>
    <t>QS-PerformanceTest Sub Site (260/300)</t>
  </si>
  <si>
    <t>Migrol Service - Birmensdorferstrasse 517 - 8055 Zürich - 103185</t>
  </si>
  <si>
    <t>Zürich, Birmensdorferstr.517 (MIGROL-ST-4167176)</t>
  </si>
  <si>
    <t>LV-St. Gallen - Rickenstrasse 68 - 9630 Wattwil - 102314</t>
  </si>
  <si>
    <t>142 - Wattwil</t>
  </si>
  <si>
    <t>Garage Raschle - Burgstrasse 11 - 8880 Walenstadt - 102315</t>
  </si>
  <si>
    <t>141 - Walenstadt</t>
  </si>
  <si>
    <t>QS-PerformanceTest Sub Site (259/300)</t>
  </si>
  <si>
    <t>Migrol Auto Service - Rorschacherstrasse 219 - 9000 St. Gallen - 103327</t>
  </si>
  <si>
    <t>SG Rorschacherstrasse (MIGROL-ST-4167091)</t>
  </si>
  <si>
    <t>Landi See AG - Eisenbahnstrasse - 8730 Uznach - 101850</t>
  </si>
  <si>
    <t>140 - Uznach</t>
  </si>
  <si>
    <t>Migrol Tankstelle - Kantonsstrasse 30 - 3940 Steg VS - 103374</t>
  </si>
  <si>
    <t>Steg-Gampel (MIGROL-ST-4167109)</t>
  </si>
  <si>
    <t>QS-PerformanceTest Sub Site (258/300)</t>
  </si>
  <si>
    <t>Autocenter AG - Im alten Riet 23 - 9494 Schaan - 101796</t>
  </si>
  <si>
    <t>137 - Schaan</t>
  </si>
  <si>
    <t>QS-PerformanceTest Sub Site (257/300)</t>
  </si>
  <si>
    <t>Migrol Service - Zürcherstrasse 3 - 5210 Windisch - 103492</t>
  </si>
  <si>
    <t>Windisch (MIGROL-ST-4167153)</t>
  </si>
  <si>
    <t>LAVEBA Shop Riethüsli - Teufenerstrasse 166 - 9012 St. Gallen - 101066</t>
  </si>
  <si>
    <t>136 - Riethüsli Shop</t>
  </si>
  <si>
    <t>QS-PerformanceTest Sub Site (256/300)</t>
  </si>
  <si>
    <t>Migrol Service - Prattelerstrasse 57 - Muttenz - 104241</t>
  </si>
  <si>
    <t>Muttenz (MIGROL-ST-4167375)</t>
  </si>
  <si>
    <t>Agrola Tankstelle - Balgacherstr. 6 - 9445 Rebstein - 101993</t>
  </si>
  <si>
    <t>135 - Rebstein</t>
  </si>
  <si>
    <t>QS-PerformanceTest Sub Site (255/300)</t>
  </si>
  <si>
    <t>Migrol Service - Route du Nant-d'Avril 71 - 1214 Vernier - 104265</t>
  </si>
  <si>
    <t>Vernier (MIGROL-ST-4167374)</t>
  </si>
  <si>
    <t>Migrol Service - Z.A. Pré du Pont 103 - 1868 Collombey - 103294</t>
  </si>
  <si>
    <t>Collombey-Muraz (MIGROL-ST-4167108)</t>
  </si>
  <si>
    <t>QS-PerformanceTest Sub Site (254/300)</t>
  </si>
  <si>
    <t>Agrola Tankstelle - Rainstrasse 3 - 8808 Pfäffikon SZ - 102320</t>
  </si>
  <si>
    <t>134 - PfÃ¤ffikon SZ</t>
  </si>
  <si>
    <t>Garage Brunner - Lütisburgerstr. 9 - 9243 Jonschwil - 101274</t>
  </si>
  <si>
    <t>130 - Jonschwil</t>
  </si>
  <si>
    <t>Migrol Service - Rheinfelsstrasse - Chur - 103375</t>
  </si>
  <si>
    <t>Chur Rheinfelsstrasse (MIGROL-ST-4167184)</t>
  </si>
  <si>
    <t>QS-PerformanceTest Sub Site (253/300)</t>
  </si>
  <si>
    <t>Coop Pronto - Aeussere Baselstrasse 263 - 4125 Riehen - 101451</t>
  </si>
  <si>
    <t>Riehen (SAP 3515)</t>
  </si>
  <si>
    <t>Agrola Tankstelle - Obereggerstrasse - 9410 Heiden - 101785</t>
  </si>
  <si>
    <t>128 - Heiden</t>
  </si>
  <si>
    <t>QS-PerformanceTest Sub Site (252/300)</t>
  </si>
  <si>
    <t>Migrol Tankstelle - Talstrasse - Stalden - 103196</t>
  </si>
  <si>
    <t>Stalden VS (MIGROL-ST-4167177)</t>
  </si>
  <si>
    <t>Migrol Auto Service - Centro S. Antonino - 6592 S. Antonino - 103384</t>
  </si>
  <si>
    <t>San Antonino (MIGROL-ST-4167192)</t>
  </si>
  <si>
    <t>QS-PerformanceTest Sub Site (251/300)</t>
  </si>
  <si>
    <t>Agrola Tankstelle - Dorfstrasse 57 - 9108 Gonten - 101067</t>
  </si>
  <si>
    <t>126 - Gonten</t>
  </si>
  <si>
    <t>Garage Niethammer - St. Gallerstrasse 20 - 9306 Freidorf TG - 101780</t>
  </si>
  <si>
    <t>125 - Freidorf</t>
  </si>
  <si>
    <t>Migrol Service - Avenue Louis Casai 74 - 1216 Cointrin - 103293</t>
  </si>
  <si>
    <t>Genève - Cointrin, Av. Louis Casai 74/76 (MIGROL-ST-4167106)</t>
  </si>
  <si>
    <t>QS-PerformanceTest Sub Site (250/300)</t>
  </si>
  <si>
    <t>Luder - Rest. Bahnhof - 9125 Brunnadern - 101277</t>
  </si>
  <si>
    <t>122 - Brunnadern</t>
  </si>
  <si>
    <t>QS-PerformanceTest Sub Site (249/300)</t>
  </si>
  <si>
    <t>Migrol Service Balexert - Avenue Louis-Casaï 27 - 1209 Genève - 103299</t>
  </si>
  <si>
    <t>Genève - Balexert, Av. Louis Casai 27 (MIGROL-ST-4167130)</t>
  </si>
  <si>
    <t>Migrol Service - Romanshornerstrasse 111 - Kreuzlingen - 103300</t>
  </si>
  <si>
    <t>Kreuzlingen, Romanshornerstrasse (MIGROL-ST-4167141)</t>
  </si>
  <si>
    <t>Agrola Garage Freuler - Giessenstrasse 2 - 8717 Benken SG - 101065</t>
  </si>
  <si>
    <t>121 - Benken</t>
  </si>
  <si>
    <t>QS-PerformanceTest Sub Site (248/300)</t>
  </si>
  <si>
    <t>QS-PerformanceTest Sub Site (247/300)</t>
  </si>
  <si>
    <t>Migrol Service - Avenue du Mont-Blanc 34 - 1196 Gland - 103416</t>
  </si>
  <si>
    <t>Gland, Av. du Mont-Blanc 34 (MIGROL-ST-4167157)</t>
  </si>
  <si>
    <t>Autobetrieb Amden - 8873 Amden - 101794</t>
  </si>
  <si>
    <t>120 - Amden</t>
  </si>
  <si>
    <t>Coop Pronto - Airport Shopping - 8060 Zürich Flughafen - 101565</t>
  </si>
  <si>
    <t>Zürich Flughafen (SAP 4292)</t>
  </si>
  <si>
    <t>Agrola Tankstelle - Kriessernstrasse 13 - 9450 Altstätten SG - 101068</t>
  </si>
  <si>
    <t>119 - Altstätten</t>
  </si>
  <si>
    <t>Migrol Service - Bernstrasse 386 - Dietikon - 103243</t>
  </si>
  <si>
    <t>Dietikon (MIGROL-ST-4167136)</t>
  </si>
  <si>
    <t>QS-PerformanceTest Sub Site (246/300)</t>
  </si>
  <si>
    <t>QS-PerformanceTest Sub Site (245/300)</t>
  </si>
  <si>
    <t>Migrol Service - Route du Simplon 24 - 1845 Noville - 103534</t>
  </si>
  <si>
    <t>Noville (MIGROL-ST-4167134)</t>
  </si>
  <si>
    <t>Coop Pronto - (Schaffhauserplatz) Hofwiesenstrasse 5 - 8057 Zürich - 101501</t>
  </si>
  <si>
    <t>Zürich(SAP 3712)</t>
  </si>
  <si>
    <t>Landi Säntis AG - Güterstrasse - 9100 Herisau - 103653</t>
  </si>
  <si>
    <t>117 - Herisau</t>
  </si>
  <si>
    <t>Rufer AG - Bahnhof - 9212 Arnegg - 104227</t>
  </si>
  <si>
    <t>011 - Arnegg</t>
  </si>
  <si>
    <t>Migrol Service - Route de Saint-Julien 185 - Plan-les-Ouates - 104187</t>
  </si>
  <si>
    <t>Plan-les-Ouates (MIGROL-ST-4167316)</t>
  </si>
  <si>
    <t>QS-PerformanceTest Sub Site (244/300)</t>
  </si>
  <si>
    <t>QS-PerformanceTest Sub Site (243/300)</t>
  </si>
  <si>
    <t>Migrol Service - Route des Perveuils 2 - 2074 Marin-Epagnier - 103465</t>
  </si>
  <si>
    <t>Marin (MIGROL-ST-4167185)</t>
  </si>
  <si>
    <t>Rufer AG - Florastrasse 32 - 9200 Gossau SG - 104228</t>
  </si>
  <si>
    <t>010 - Gossau</t>
  </si>
  <si>
    <t>Migrol Service - Route de Péage 31a - Sugiez - 104197</t>
  </si>
  <si>
    <t>Sugiez (MIGROL-ST-4167320)</t>
  </si>
  <si>
    <t>Indino-Car - Hinterdorfstrasse - 8753 Mollis - 102318</t>
  </si>
  <si>
    <t>131 - Mollis</t>
  </si>
  <si>
    <t>QS-PerformanceTest Sub Site (242/300)</t>
  </si>
  <si>
    <t>LAVEBA Shop Bruggen - Zürcher Strasse 268 - 9014 St. Gallen - 104206</t>
  </si>
  <si>
    <t>629 - Bruggen Shop</t>
  </si>
  <si>
    <t>QS-PerformanceTest Sub Site (241/300)</t>
  </si>
  <si>
    <t>Migrol Tankstelle - Bernstrasse 39 - 3613 Steffisburg - 103306</t>
  </si>
  <si>
    <t>Steffisburg (MIGROL-ST-4167162)</t>
  </si>
  <si>
    <t>LAVEBA Shop - St. Gallerstrasse 107 - 9320 Arbon - 102460</t>
  </si>
  <si>
    <t>416 - Arbon Shop</t>
  </si>
  <si>
    <t>Migrol Service - Route de Moncor 8 - Villars-sur-Glâne - 103359</t>
  </si>
  <si>
    <t>Villars-sur-Glâne (MIGROL-ST-4167105)</t>
  </si>
  <si>
    <t>QS-PerformanceTest Sub Site (240/300)</t>
  </si>
  <si>
    <t>Coop Pronto - (Badischer Bahnhof) Schwarzwaldallee 200 - 4058 Basel - 101480</t>
  </si>
  <si>
    <t>Basel (SAP 3575)</t>
  </si>
  <si>
    <t>Migrol Service - Hochbergerstrasse 106 - 4057 Basel - 104170</t>
  </si>
  <si>
    <t>Basel Hochbergerstrasse (MIGROL-ST-4167312)</t>
  </si>
  <si>
    <t>QS-PerformanceTest Sub Site (239/300)</t>
  </si>
  <si>
    <t>Landi St. Margrethen - Industriestrasse 9430 St. Margrethen SG - 101064</t>
  </si>
  <si>
    <t>138 - St. Margrethen</t>
  </si>
  <si>
    <t>Station Migrol - Route Noyer Girod - 1163 Etoy - 103343</t>
  </si>
  <si>
    <t>Etoy (MIGROL-ST-4167182)</t>
  </si>
  <si>
    <t>Coop Pronto - Via Cantonale - 6595 Lavertezzo/Riazzino - 104322</t>
  </si>
  <si>
    <t>Lavertezzo-Riazzino (SAP 5791)</t>
  </si>
  <si>
    <t>RealShop SA</t>
  </si>
  <si>
    <t>RealShop SA - Pedrinate (104418)</t>
  </si>
  <si>
    <t>QS-PerformanceTest Sub Site (238/300)</t>
  </si>
  <si>
    <t>HOS RealShop SA</t>
  </si>
  <si>
    <t>QS-PerformanceTest Sub Site (237/300)</t>
  </si>
  <si>
    <t>Migrol Service - Rheinfelderstrasse 10 - Birsfelden - 103240</t>
  </si>
  <si>
    <t>Birsfelden (MIGROL-ST-4167113)</t>
  </si>
  <si>
    <t>Coop Pronto - Lenzburgerstrasse 6 - 5604 Hendschiken - 104330</t>
  </si>
  <si>
    <t>Hendschiken (SAP 5728)</t>
  </si>
  <si>
    <t>Coop Pronto - Rheinfelderstrasse 38-42 - 4127 Birsfelden - 104331</t>
  </si>
  <si>
    <t>Birsfelden (SAP 5444)</t>
  </si>
  <si>
    <t>LAVEBA Tankstelle - Dorfstrasse 11 - 9413 Oberegg - 102319</t>
  </si>
  <si>
    <t>133 - Oberegg</t>
  </si>
  <si>
    <t>QS-PerformanceTest Sub Site (236/300)</t>
  </si>
  <si>
    <t>Migrol Service - Route du Vignoble 13 - Boudry - 102140</t>
  </si>
  <si>
    <t>Boudry (MIGROL-ST-4167149)</t>
  </si>
  <si>
    <t>0091-Gerchsheim</t>
  </si>
  <si>
    <t>SiteType:Fuel,SiteType:OPT,SPECIAL-PERMISSION-ErikWalther</t>
  </si>
  <si>
    <t>Migrol Service - Zeughausstrasse 38 - 6210 Sursee - 103237</t>
  </si>
  <si>
    <t>Sursee (MIGROL-ST-4167118)</t>
  </si>
  <si>
    <t>QS-PerformanceTest Sub Site (235/300)</t>
  </si>
  <si>
    <t>Coop Tankstelle - Via Cantonale - 6916 Grancia - 101391</t>
  </si>
  <si>
    <t>Migrol Service - Gotthardstrasse 45 - Meggen - 103268</t>
  </si>
  <si>
    <t>Meggen (MIGROL-ST-4167123)</t>
  </si>
  <si>
    <t>Coop Pronto - Via Pian Scairolo - 6915 Pambio-Noranco - 104317</t>
  </si>
  <si>
    <t>Pambio Noranco (SAP 5519)</t>
  </si>
  <si>
    <t>QS-PerformanceTest Sub Site (234/300)</t>
  </si>
  <si>
    <t>Coop Pronto - Sarganserstrasse 40 - 7310 Bad Ragaz - 101332</t>
  </si>
  <si>
    <t>Bad Ragaz Sarganserstrasse (SAP 5760)</t>
  </si>
  <si>
    <t>Laveba Tankstelle - Erlenstrasse 7 - 8865 Bilten - 104406</t>
  </si>
  <si>
    <t>695 - Bilten</t>
  </si>
  <si>
    <t>QS-PerformanceTest Sub Site (233/300)</t>
  </si>
  <si>
    <t>Station Migrol - Rue des Avouillons 3 - Martigny - 103178</t>
  </si>
  <si>
    <t>Martigny (MIGROL-ST-4167171)</t>
  </si>
  <si>
    <t>QS-PerformanceTest Sub Site (232/300)</t>
  </si>
  <si>
    <t>Coop Pronto - Aarauerstrasse 49/51 - 5600 Lenzburg - 104316</t>
  </si>
  <si>
    <t>Lenzburg (SAP 5616)</t>
  </si>
  <si>
    <t>Migrol Service - Rheinstrasse 46 - Füllinsdorf - 103238</t>
  </si>
  <si>
    <t>Füllinsdorf (MIGROL-ST-4167111)</t>
  </si>
  <si>
    <t>QS-PerformanceTest Sub Site (231/300)</t>
  </si>
  <si>
    <t>Migrol Service - Rotzlochstrasse 1 - Stans - 103192</t>
  </si>
  <si>
    <t>Stans, Rotzlochstrasse 1 (MIGROL-ST-4167168)</t>
  </si>
  <si>
    <t>Coop Pronto - Thunstrasse 18 - 3770 Zweisimmen - 104318</t>
  </si>
  <si>
    <t>Zweisimmen (SAP 5747)</t>
  </si>
  <si>
    <t>QS-PerformanceTest Sub Site (230/300)</t>
  </si>
  <si>
    <t>Migrol Service - Zürcherstrasse 276 - 8500 Frauenfeld - 103298</t>
  </si>
  <si>
    <t>Frauenfeld (276) (MIGROL-ST-4167101)</t>
  </si>
  <si>
    <t>QS-PerformanceTest Sub Site (229/300)</t>
  </si>
  <si>
    <t>Migrol Service - Flüelerstrasse 154 - 6460 Altdorf UR - 103200</t>
  </si>
  <si>
    <t>Altdorf UR (MIGROL-ST-4167125)</t>
  </si>
  <si>
    <t>0045-Burghaun</t>
  </si>
  <si>
    <t>QS-PerformanceTest Sub Site (228/300)</t>
  </si>
  <si>
    <t>Bern Westside - Riedbachstrasse 104 - 3027 Bern - 103180</t>
  </si>
  <si>
    <t>Bern-Westside (MIGROL-ST-4167173)</t>
  </si>
  <si>
    <t>Tankstelle von Rotz AG</t>
  </si>
  <si>
    <t>Businesspartner:socar,CiRRUSFeatureFlag:UseEnginePos</t>
  </si>
  <si>
    <t>Tankstelle von Rotz AG -Bronschhofen (101273)</t>
  </si>
  <si>
    <t>QS-PerformanceTest Sub Site (227/300)</t>
  </si>
  <si>
    <t>Euroshop SA - Route de Pra-Riond 4 - 1635 La Tour-de-Trême - 103225</t>
  </si>
  <si>
    <t>La Tour-de-Trême (MIGROL-ST-4167163)</t>
  </si>
  <si>
    <t>HOS Tankstelle von Rotz AG</t>
  </si>
  <si>
    <t>QS-PerformanceTest Sub Site (226/300)</t>
  </si>
  <si>
    <t>Migrol Service - Dufourstrasse 14 - 8570 Weinfelden - 102094</t>
  </si>
  <si>
    <t>Weinfelden, Dufourstrasse 14 (MIGROL-ST-4167147)</t>
  </si>
  <si>
    <t>7 Day-Shop AG - Industriestrasse 9 - 5432 Neuenhof - 104415 (mobile Kasse)</t>
  </si>
  <si>
    <t>Neuenhof-Industriestrasse-9</t>
  </si>
  <si>
    <t>QS-PerformanceTest Sub Site (225/300)</t>
  </si>
  <si>
    <t>Migrol Service - Muristrasse 8 - 5623 Boswil - 103278</t>
  </si>
  <si>
    <t>Boswil (MIGROL-ST-4167164)</t>
  </si>
  <si>
    <t>7 Day-Shop AG - Industriestrasse 9 - 5432 Neuenhof - 104413</t>
  </si>
  <si>
    <t>QS-PerformanceTest Sub Site (224/300)</t>
  </si>
  <si>
    <t>Migrol Service - Route de Cossonay 3 - Villars-Ste-Croix - 103307</t>
  </si>
  <si>
    <t>Villars-Ste-Croix (MIGROL-ST-4167170)</t>
  </si>
  <si>
    <t>7 DAY-SHOP / Baden (104412)</t>
  </si>
  <si>
    <t>7 DAY-SHOP / Zürich-Rüdenplatz (104411)</t>
  </si>
  <si>
    <t>Migrol Service - Weinfelderstrasse 130 - 8580 Amriswil - 102663</t>
  </si>
  <si>
    <t>Migrol</t>
  </si>
  <si>
    <t>Amriswil (MIGROL-ST-4167156)</t>
  </si>
  <si>
    <t>QS-PerformanceTest Sub Site (223/300)</t>
  </si>
  <si>
    <t>Migrol Tankstelle - Reckholderstrasse 2 - 4222 Zwingen - 103315</t>
  </si>
  <si>
    <t>Zwingen (MIGROL-ST-4167181)</t>
  </si>
  <si>
    <t>7 DAY-SHOP / Zürich-Hirschenplatz (104410)</t>
  </si>
  <si>
    <t>QS-PerformanceTest Sub Site (222/300)</t>
  </si>
  <si>
    <t>QS-PerformanceTest Sub Site (221/300)</t>
  </si>
  <si>
    <t>7 DAY-SHOP / Zürich-Niederdorfstrasse (104414)</t>
  </si>
  <si>
    <t>Migrol Service - Romanshornerstrasse 129 - 9322 Egnach - 103282</t>
  </si>
  <si>
    <t>Egnach (MIGROL-ST-4167179)</t>
  </si>
  <si>
    <t>Migrol Service - Bernstrasse 50 - Flamatt - 103297</t>
  </si>
  <si>
    <t>Flamatt, Bernstrasse 50 (MIGROL-ST-4167169)</t>
  </si>
  <si>
    <t>QS-PerformanceTest Sub Site (220/300)</t>
  </si>
  <si>
    <t>HOS 7 Day-Shop</t>
  </si>
  <si>
    <t>Migrol Service - Grenzstrasse 31 - St. Margrethen - 103279</t>
  </si>
  <si>
    <t>St. Margrethen, Grenzstrasse 31 (MIGROL-ST-4167142)</t>
  </si>
  <si>
    <t>QS-PerformanceTest Sub Site (219/300)</t>
  </si>
  <si>
    <t>MasterTemplateFuel</t>
  </si>
  <si>
    <t>HOS MasterTemplateFuel</t>
  </si>
  <si>
    <t>German,French,Italian,English</t>
  </si>
  <si>
    <t>MasterTemplateShopFuel</t>
  </si>
  <si>
    <t>HOS MasterTemplateShopFuel</t>
  </si>
  <si>
    <t>Migrol Service - Auto MPark AG - Kaegenstrasse 1 -  Reinach - 103224</t>
  </si>
  <si>
    <t>Reinach Kägenstrasse (MIGROL-ST-4167115)</t>
  </si>
  <si>
    <t>QS-PerformanceTest Sub Site (218/300)</t>
  </si>
  <si>
    <t>QS-PerformanceTest Sub Site (217/300)</t>
  </si>
  <si>
    <t>0073-Gerbrunn</t>
  </si>
  <si>
    <t>Migrol Service - Grenzstrasse 72 - Thayngen - 103338</t>
  </si>
  <si>
    <t>Thayngen (MIGROL-ST-4167127)</t>
  </si>
  <si>
    <t>QS-PerformanceTest Sub Site (216/300)</t>
  </si>
  <si>
    <t>HOS Jubin Frères - Production</t>
  </si>
  <si>
    <t>Coop Pronto - Wilerstrasse 100 - 8370 Sirnach - 104315</t>
  </si>
  <si>
    <t>Sirnach (SAP 5722)</t>
  </si>
  <si>
    <t>Migrol Service - Zürcherstrasse 48 - 8406 Winterthur - 103249</t>
  </si>
  <si>
    <t>Winterthur Zürcherstr. 48 (MIGROL-ST-4167093)</t>
  </si>
  <si>
    <t>Migrol Tankstelle - Kirchbergstrasse 235 - 3400 Burgdorf - 103242</t>
  </si>
  <si>
    <t>Burgdorf, Kirchbergstrasse 235 (MIGROL-ST-4167121)</t>
  </si>
  <si>
    <t>QS-PerformanceTest Sub Site (215/300)</t>
  </si>
  <si>
    <t>Coop Pronto - Route de la Fonderie 14d - 1700 Fribourg - 104314</t>
  </si>
  <si>
    <t>Fribourg Route de la Fonderie (SAP5787)</t>
  </si>
  <si>
    <t>Eduard Waldburger AG</t>
  </si>
  <si>
    <t>Spurt Tankstelle - Steigstrasse 4 - 8233 Bargen - 104409</t>
  </si>
  <si>
    <t>Spurt Tankstelle - Bargen (104409)</t>
  </si>
  <si>
    <t>QS-PerformanceTest Sub Site (214/300)</t>
  </si>
  <si>
    <t>HOS Eduard Waldburger</t>
  </si>
  <si>
    <t>Station Migrol - Rue du Silo 7 - Renens - 103266</t>
  </si>
  <si>
    <t>Renens (MIGROL-ST-4167128)</t>
  </si>
  <si>
    <t>Coop Pronto - Schaffhauserstrasse 84 - 8500 Frauenfeld - 104304</t>
  </si>
  <si>
    <t>Frauenfeld Schaffhauserstrasse (SAP 5713)</t>
  </si>
  <si>
    <t>MasterTemplateShop</t>
  </si>
  <si>
    <t>HOS MasterTemplateShop</t>
  </si>
  <si>
    <t>Migrol Service - Aarburgerstrasse 115 - Olten - 103301</t>
  </si>
  <si>
    <t>Olten Aarburgerstrasse (MIGROL-ST-4167161)</t>
  </si>
  <si>
    <t>QS-PerformanceTest Sub Site (213/300)</t>
  </si>
  <si>
    <t>Coop Pronto - Solothurnstrasse 132 - 2504 Biel/Bienne - 101276</t>
  </si>
  <si>
    <t>Biel Solothurnstrasse (SAP 3491)</t>
  </si>
  <si>
    <t>Coop Pronto - Bielstrasse 50 - 4500 Solothurn - 104290</t>
  </si>
  <si>
    <t>Solothurn (SAP 5712)</t>
  </si>
  <si>
    <t>QS-PerformanceTest Sub Site (212/300)</t>
  </si>
  <si>
    <t>Migrol Service - Wülflingerstrasse 393A - 8408 Winterthur - 102090</t>
  </si>
  <si>
    <t>Winterthur-Wülflingen (MIGROL-ST-4167150)</t>
  </si>
  <si>
    <t>Dorfkiosk Eschi GmbH</t>
  </si>
  <si>
    <t>Dorf Kiosk Eschi GmbH - Eschenbach SG (104408)</t>
  </si>
  <si>
    <t>HOS Dorfkiosk Eschi</t>
  </si>
  <si>
    <t>HOS Dorf Kiosk Eschi GmbH</t>
  </si>
  <si>
    <t>QS-PerformanceTest Sub Site (211/300)</t>
  </si>
  <si>
    <t>Migrol Service - In der Au 2 - Winterthur-Töss - 102138</t>
  </si>
  <si>
    <t>Winterthur In der Au (MIGROL-ST-4167183)</t>
  </si>
  <si>
    <t>Coop Pronto - Zürcherstrasse 229 - 8953 Dietikon - 104298</t>
  </si>
  <si>
    <t>Dietikon Zürcherstrasse 229 (SAP 5152)</t>
  </si>
  <si>
    <t>Gioia Combustibili SA</t>
  </si>
  <si>
    <t>Gioia Combustibili SA - Stazione Stabio</t>
  </si>
  <si>
    <t>Coop Pronto - Seestrasse 931 - 8706 Meilen - 104283</t>
  </si>
  <si>
    <t>Meilen (SAP 5431)</t>
  </si>
  <si>
    <t>Migrol Service - Rue de Lausanne 73 - Morges - 103274</t>
  </si>
  <si>
    <t>Morges (MIGROL-ST-4167107)</t>
  </si>
  <si>
    <t>QS-PerformanceTest Sub Site (210/300)</t>
  </si>
  <si>
    <t>QS-PerformanceTest Sub Site (209/300)</t>
  </si>
  <si>
    <t>Migrol Service - Zurzacherstrasse 83 - 5200 Brugg - 103182</t>
  </si>
  <si>
    <t>Brugg (MIGROL-ST-4167172)</t>
  </si>
  <si>
    <t>Coop Pronto - Bernstrasse 1 - 3072 Ostermundigen - 104294</t>
  </si>
  <si>
    <t>Ostermundigen (SAP 5539)</t>
  </si>
  <si>
    <t>Coop Pronto - Maurerstrasse 303 - 8500 Frauenfeld - 104275</t>
  </si>
  <si>
    <t>Frauenfeld Maurerstrasse (SAP 5479)</t>
  </si>
  <si>
    <t>Migrol Servicecenter - Industriestrasse 20 a - 8604 Volketswil - 103328</t>
  </si>
  <si>
    <t>Volketswil, Industriestrasse 20A (MIGROL-ST-4167126)</t>
  </si>
  <si>
    <t>QS-PerformanceTest Sub Site (208/300)</t>
  </si>
  <si>
    <t>QS-PerformanceTest Sub Site (207/300)</t>
  </si>
  <si>
    <t>Migrol Service - Thurgauerstrasse 100 - Zuerich - 103269</t>
  </si>
  <si>
    <t>Zürich, Thurgauerstr. 100 (MIGROL-ST-4167092)</t>
  </si>
  <si>
    <t>Coop Pronto - Ringstrasse 31 - 7000 Chur - 104259</t>
  </si>
  <si>
    <t>Chur Ringstrasse (SAP 5505)</t>
  </si>
  <si>
    <t>Migrol Service - Zürichstrasse 57 - 8180 Bülach - 103246</t>
  </si>
  <si>
    <t>Bülach (MIGROL-ST-4167165)</t>
  </si>
  <si>
    <t>Coop Pronto - Avenue de Fully 53 - 1920 Martigny - 104262</t>
  </si>
  <si>
    <t>Martigny-Av-de-Fully (SAP 5656)</t>
  </si>
  <si>
    <t>QS-PerformanceTest Sub Site (206/300)</t>
  </si>
  <si>
    <t>Migrol Service - Autobahnraststätte A2/A5 - Basel-Weil - 103260</t>
  </si>
  <si>
    <t>Basel-Weil, Autobahntankstelle (MIGROL-ST-4167175)</t>
  </si>
  <si>
    <t>QS-PerformanceTest Sub Site (205/300)</t>
  </si>
  <si>
    <t>Coop Pronto - Hauptstrasse 38 - 3713 Reichenbach im Kandertal - 104263</t>
  </si>
  <si>
    <t>Reichenbach (SAP 5345)</t>
  </si>
  <si>
    <t>Migrol Service - Zuercherstrasse 114 - 9000 St. Gallen - 103247</t>
  </si>
  <si>
    <t>SG Zürcherstrasse (MIGROL-ST-4167143)</t>
  </si>
  <si>
    <t>QS-PerformanceTest Sub Site (204/300)</t>
  </si>
  <si>
    <t>Coop Pronto - En Rambuz 21 - 1037 Etagnières - 104261</t>
  </si>
  <si>
    <t>Etagnières (SAP 5615)</t>
  </si>
  <si>
    <t>Coop Pronto - Maihofstrasse 101 - 6006 Luzern - 101432</t>
  </si>
  <si>
    <t>Luzern (Ebikon) (SAP 3475)</t>
  </si>
  <si>
    <t>Migrol Service - Route de Cossonay 66 - 1008 Prilly - 103303</t>
  </si>
  <si>
    <t>Prilly (MIGROL-ST-4167098)</t>
  </si>
  <si>
    <t>QS-PerformanceTest Sub Site (203/300)</t>
  </si>
  <si>
    <t>Coop Pronto - Tardis - 7302 Landquart - 101496</t>
  </si>
  <si>
    <t>Landquart (SAP 3713)</t>
  </si>
  <si>
    <t>Migrol Service - Binningerstrasse 91 - 4123 Allschwil - 103290</t>
  </si>
  <si>
    <t>Allschwil, Binningerstrasse 91 (MIGROL-ST-4167114)</t>
  </si>
  <si>
    <t>QS-PerformanceTest Sub Site (202/300)</t>
  </si>
  <si>
    <t>Migrol Service - Ruchwiesenstrasse 1 - Dielsdorf - 103559</t>
  </si>
  <si>
    <t>Dielsdorf Ruchwiesenstrasse (MIGROL-ST-4167191)</t>
  </si>
  <si>
    <t>QS-PerformanceTest Sub Site (201/300)</t>
  </si>
  <si>
    <t>Coop Pronto - Ringstrasse 15 - 6010 Kriens - 101549</t>
  </si>
  <si>
    <t>Kriens Ringstrasse (SAP 4104)</t>
  </si>
  <si>
    <t>QS-PerformanceTest Sub Site (200/300)</t>
  </si>
  <si>
    <t>Migrol Service - St. Gallerstrasse 75a - Schmerikon - 103251</t>
  </si>
  <si>
    <t>Schmerikon (MIGROL-ST-4167144)</t>
  </si>
  <si>
    <t>Coop Pronto - Bützbergstrasse 103 - 4900 Langenthal - 101498</t>
  </si>
  <si>
    <t>Langenthal (SAP 3717)</t>
  </si>
  <si>
    <t>Migrol Station - Route Cantonale 25a - 1964 Conthey - 103181</t>
  </si>
  <si>
    <t>Conthey, Ouest (MIGROL-ST-4167174)</t>
  </si>
  <si>
    <t>Coop Pronto - Rorschacherstrasse 133 - 9450 Lüchingen - 101428</t>
  </si>
  <si>
    <t>Lüchingen  (SAP 3419)</t>
  </si>
  <si>
    <t>QS-PerformanceTest Sub Site (199/300)</t>
  </si>
  <si>
    <t>QS-PerformanceTest Sub Site (198/300)</t>
  </si>
  <si>
    <t>Coop Pronto - Romanshornerstrasse 126 - 8280 Kreuzlingen - 101553</t>
  </si>
  <si>
    <t>Kreuzlingen Romanshornerstrasse (SAP 3953)</t>
  </si>
  <si>
    <t>Migrol Service - Gerliswilstrasse 24 - 6020 Emmenbrücke - 103248</t>
  </si>
  <si>
    <t>Emmenbrücke (MIGROL-ST-4167131)</t>
  </si>
  <si>
    <t>Migrol Service - Husacherstrasse 2 - 8304 Wallisellen - 103272</t>
  </si>
  <si>
    <t>Wallisellen (MIGROL-ST-4167090)</t>
  </si>
  <si>
    <t>Coop Pronto - Via Cantonale 12 - 6983 Magliaso - 104224</t>
  </si>
  <si>
    <t>Magliaso (SAP 5318)</t>
  </si>
  <si>
    <t>Landi Thur AG - Niederuzwilerstrasse / Flawil - 9240 Niederglatt - 101666</t>
  </si>
  <si>
    <t>132 - Flawil</t>
  </si>
  <si>
    <t>QS-PerformanceTest Sub Site (197/300)</t>
  </si>
  <si>
    <t>QS-PerformanceTest Sub Site (196/300)</t>
  </si>
  <si>
    <t>Migrol Service - Chollerstrasse 1 - Zug - 103245</t>
  </si>
  <si>
    <t>Zug, Chollerstrasse 1 (MIGROL-ST-4167146)</t>
  </si>
  <si>
    <t>Thurau Raststätten-Production</t>
  </si>
  <si>
    <t>Raststätte Rheintal AG West - Postfach 763 - 9471 Buchs SG 1 - 101053</t>
  </si>
  <si>
    <t>Raststätte Rheintal West (101053)</t>
  </si>
  <si>
    <t>Coop Pronto - Champs Montants - 2074 Marin - 101365</t>
  </si>
  <si>
    <t>Marin (SAP 3489)</t>
  </si>
  <si>
    <t>Raststätte Thurau Süd - Postfach 275 - 9501 Wil SG - 101055</t>
  </si>
  <si>
    <t>Raststätte Thurau Süd (101055)</t>
  </si>
  <si>
    <t>Coop Pronto - Route de la Gruyère 15 - 1723 Marly - 101576</t>
  </si>
  <si>
    <t>Marly (SAP 4108)</t>
  </si>
  <si>
    <t>Migrol Service - Wehntalerstrasse 4 - 8157 Dielsdorf - 103296</t>
  </si>
  <si>
    <t>Dielsdorf (MIGROL-ST-4167088)</t>
  </si>
  <si>
    <t>QS-PerformanceTest Sub Site (195/300)</t>
  </si>
  <si>
    <t>Coop Pronto - Route du Levant 96 - 1920 Martigny - 101381</t>
  </si>
  <si>
    <t>Martigny (SAP 3486)</t>
  </si>
  <si>
    <t>QS-PerformanceTest Sub Site (194/300)</t>
  </si>
  <si>
    <t>Servizio Migrol - Via cantonale 25 - 6928 Manno - 103239</t>
  </si>
  <si>
    <t>Manno (MIGROL-ST-4167154)</t>
  </si>
  <si>
    <t>0062-Geismar-Leimkuhle</t>
  </si>
  <si>
    <t>Coop Pronto - Weststrasse 6 - 5506 Mägenwil - 101537</t>
  </si>
  <si>
    <t>MÃ¤genwil (SAP 3797)</t>
  </si>
  <si>
    <t>QS-PerformanceTest Sub Site (193/300)</t>
  </si>
  <si>
    <t>Migrol Tankstelle - Gsteigstrasse 6 - 3812 Wilderswil - 103308</t>
  </si>
  <si>
    <t>Wilderswil, Gsteigstrasse 6, Shop-TS (MIGROL-ST-4167129)</t>
  </si>
  <si>
    <t>Coop Pronto - Route de Champ-Colin 7 - 1260 Nyon - 103707</t>
  </si>
  <si>
    <t>Nyon (SAP 4792)</t>
  </si>
  <si>
    <t>QS-PerformanceTest Sub Site (192/300)</t>
  </si>
  <si>
    <t>Migrol Service - Staatsstrasse 10 - 9477 Trübbach - 103250</t>
  </si>
  <si>
    <t>Trübbach (MIGROL-ST-4167151)</t>
  </si>
  <si>
    <t>Coop Pronto - Chemin de Lavegny 2 - 1350 Orbe - 103695</t>
  </si>
  <si>
    <t>Orbe (SAP 4639)</t>
  </si>
  <si>
    <t>QS-PerformanceTest Sub Site (191/300)</t>
  </si>
  <si>
    <t>Migrol Tankstelle - St. Gallerstrasse 22 - Zuzwil - 103973</t>
  </si>
  <si>
    <t>Zuzwil (MIGROL-ST-4167298)</t>
  </si>
  <si>
    <t>Coop Pronto - Luzernerstrasse 54 - 4665 Oftringen - 101516</t>
  </si>
  <si>
    <t>Oftringen (SAP 3748)</t>
  </si>
  <si>
    <t>PiCCADiLLY</t>
  </si>
  <si>
    <t>Piccadilly SA (2095) - Strada Cantonale - 6978 Gandria - 103842</t>
  </si>
  <si>
    <t>Businesspartner:migrolino,Businesspartner:socar,CiRRUSFeatureFlag:UseEnginePos</t>
  </si>
  <si>
    <t>2095 Gandria-7337 mio-SOCAR</t>
  </si>
  <si>
    <t>QS-PerformanceTest Sub Site (190/300)</t>
  </si>
  <si>
    <t>Migrol Auto Service - Rue de l'Europe 82 - 1630 Bulle - 103417</t>
  </si>
  <si>
    <t>Bulle, Gruyère-Centre (MIGROL-ST-4167102)</t>
  </si>
  <si>
    <t>Piccadilly SA (2101) - Via Cantonale - 6593 Cadenazzo - 103838</t>
  </si>
  <si>
    <t>2101 Cadenazzo-7335 mig-SOCAR</t>
  </si>
  <si>
    <t>Coop Pronto - Rheinstrasse 9 - 9463 Oberriet SG - 101348</t>
  </si>
  <si>
    <t>Oberriet (SAP 3435)</t>
  </si>
  <si>
    <t>QS-PerformanceTest Sub Site (189/300)</t>
  </si>
  <si>
    <t>Migrol Service - St. Gallerstrasse 34 - Goldach - 103325</t>
  </si>
  <si>
    <t>Goldach (MIGROL-ST-4167099)</t>
  </si>
  <si>
    <t>Migrol Tankstelle - Emmentalstrasse 166 - 3414 Oberburg - 103739</t>
  </si>
  <si>
    <t>Oberburg (MIGROL-ST-4167218)</t>
  </si>
  <si>
    <t>QS-PerformanceTest Sub Site (188/300)</t>
  </si>
  <si>
    <t>Piccadilly SA (2104) - Via Zorzi 36 - 6500 Bellinzona Semine - 103839</t>
  </si>
  <si>
    <t>2104 Semine-Coop-SOCAR</t>
  </si>
  <si>
    <t>Coop Pronto - Bolacker - 4564 Gerlafingen - 101561</t>
  </si>
  <si>
    <t>Obergerlafingen (SAP 4186)</t>
  </si>
  <si>
    <t>Coop Pronto - Industriestrasse 43 - 5036 Oberentfelden - 103562</t>
  </si>
  <si>
    <t>Oberentfelden (SAP 4692)</t>
  </si>
  <si>
    <t>QS-PerformanceTest Sub Site (187/300)</t>
  </si>
  <si>
    <t>Piccadilly SA (2105) - Via San Gottardo 104 - 6500 Bellinzona - 103840</t>
  </si>
  <si>
    <t>2105 Bellinzona-7333 mig-SOCAR</t>
  </si>
  <si>
    <t>Migrol Service - Zugerstrasse 2 - 6340 Sihlbrugg - 103856</t>
  </si>
  <si>
    <t>Sihlbrugg (MIGROL-ST-4167295)</t>
  </si>
  <si>
    <t>Coop Pronto - Gotthardstrasse 23 - 6414 Oberarth - 101471</t>
  </si>
  <si>
    <t>Oberarth (SAP 3546)</t>
  </si>
  <si>
    <t>Piccadilly SA (2110) - Via Guisan 2 - 6710 Biasca - 103841</t>
  </si>
  <si>
    <t>2110 Biasca-7334 mio-SOCAR</t>
  </si>
  <si>
    <t>QS-PerformanceTest Sub Site (186/300)</t>
  </si>
  <si>
    <t>Migrol Tankstelle - Neue Aarburgerstrasse 9 - 4852 Rothrist - 103770</t>
  </si>
  <si>
    <t>Rothrist, Neue Aarburgerstrasse 9 (MIGROL-ST-4167292)</t>
  </si>
  <si>
    <t>Migrol Service - Eichfeld 1 - 5643 Sins - 103241</t>
  </si>
  <si>
    <t>Sins, Eichfeld 1 (MIGROL-ST-4167167)</t>
  </si>
  <si>
    <t>QS-PerformanceTest Sub Site (185/300)</t>
  </si>
  <si>
    <t>Piccadilly SA (2113) - Via Cantonale - 6595 Riazzino - 103832</t>
  </si>
  <si>
    <t>2113 Riazzino-Coop-SOCAR</t>
  </si>
  <si>
    <t>Coop Pronto - Landstrasse 166 - 5415 Nussbaumen AG - 104024</t>
  </si>
  <si>
    <t>Nussbaumen (SAP 5007)</t>
  </si>
  <si>
    <t>QS-PerformanceTest Sub Site (184/300)</t>
  </si>
  <si>
    <t>Piccadilly SA (2125) - Via Circonvallazione - 6612 Ascona - 103844</t>
  </si>
  <si>
    <t>2125 Ascona-7331 mig-SOCAR</t>
  </si>
  <si>
    <t>Coop Pronto - Untere Dürrmühlestrasse 19 - 4704 Niederbipp - 101393</t>
  </si>
  <si>
    <t>Niederbipp (SAP 3428)</t>
  </si>
  <si>
    <t>Migrol Tankstelle - Sandgasse 18 - 5734 Reinach AG - 103993</t>
  </si>
  <si>
    <t>Reinach AG (MIGROL-ST-4167300)</t>
  </si>
  <si>
    <t>Coop Pronto - Grosszaun 1 - 8754 Netstal - 101513</t>
  </si>
  <si>
    <t>Netstal (SAP 3626)</t>
  </si>
  <si>
    <t>Piccadilly SA (2128) - Via R. Leoncavallo 62 - 6614 Brissago - 103843</t>
  </si>
  <si>
    <t>2128 Brissago-7336 mig-SOCAR</t>
  </si>
  <si>
    <t>QS-PerformanceTest Sub Site (183/300)</t>
  </si>
  <si>
    <t>Migrol Service - Impasse de la Colline 2 - 1762 Givisiez - 103258</t>
  </si>
  <si>
    <t>Givisiez, Impasse de Colline 2 (MIGROL-ST-4167138)</t>
  </si>
  <si>
    <t>Piccadilly SA (2066) - Valmara Confine - 6822 Arogno - 103847</t>
  </si>
  <si>
    <t>2066 Arogno-Danesi-PiCA</t>
  </si>
  <si>
    <t>Coop Pronto - Bielstrasse 21 - 3053 Münchenbuchsee - 101600</t>
  </si>
  <si>
    <t>Münchenbuchsee (SAP 4636)</t>
  </si>
  <si>
    <t>Migrol Service - Winkelriedstrasse 10 - Bern - 103865</t>
  </si>
  <si>
    <t>Bern Winkelriedstrasse (MIGROL-ST-4167296)</t>
  </si>
  <si>
    <t>QS-PerformanceTest Sub Site (182/300)</t>
  </si>
  <si>
    <t>Coop Pronto - St. Jakobstrasse 133 - 4132 Muttenz - 101355</t>
  </si>
  <si>
    <t>Muttenz (SAP 3453)</t>
  </si>
  <si>
    <t>QS-PerformanceTest Sub Site (181/300)</t>
  </si>
  <si>
    <t>Piccadilly SA (2070) - Via Campione - 6816 Bissone - 103820</t>
  </si>
  <si>
    <t>2070 Bissone-Coop-SOCAR</t>
  </si>
  <si>
    <t>Migrol Tankstelle - Ahornweg 14 - 5504 Othmarsingen - 103974</t>
  </si>
  <si>
    <t>Othmarsingen (MIGROL-ST-4167297)</t>
  </si>
  <si>
    <t>QS-PerformanceTest Sub Site (180/300)</t>
  </si>
  <si>
    <t>Migrol Service - Egghölzlistrasse 1 - Bern - 103410</t>
  </si>
  <si>
    <t>Bern Egghölzli (MIGROL-ST-4167190)</t>
  </si>
  <si>
    <t>Coop Pronto - Löwenberg 48 - 3280 Murten - 104247</t>
  </si>
  <si>
    <t>Murten (SAP 5367)</t>
  </si>
  <si>
    <t>Piccadilly SA (2081) - Via Cantonale 128 - 6996 Fornasette Dogana - 103833</t>
  </si>
  <si>
    <t>Businesspartner:migrolino,CiRRUSFeatureFlag:UseEnginePos</t>
  </si>
  <si>
    <t>2081 Fornasette-7342 mio-ENI</t>
  </si>
  <si>
    <t>Migrol Auto Service - Gotthardstrasse - 6438 Ibach - 103481</t>
  </si>
  <si>
    <t>Ibach (MIGROL-ST-4167140)</t>
  </si>
  <si>
    <t>Piccadilly SA (2082) - Via Cantonale 59 - 6996 Ponte Cremenaga 1 - 103834</t>
  </si>
  <si>
    <t>2082 Pte Cremenaga-7343 mig-PiCA</t>
  </si>
  <si>
    <t>QS-PerformanceTest Sub Site (179/300)</t>
  </si>
  <si>
    <t>Coop Pronto - Luzernerstrasse 33 - 5630 Muri AG - 101504</t>
  </si>
  <si>
    <t>Muri (SAP 3728)</t>
  </si>
  <si>
    <t>QS-PerformanceTest Sub Site (178/300)</t>
  </si>
  <si>
    <t>Coop Pronto - Hauptstrasse 62 - 4853 Murgenthal - 101406</t>
  </si>
  <si>
    <t>Murgenthal (SAP 3467)</t>
  </si>
  <si>
    <t>Piccadilly SA (2085) - Via Colombera 36 - 6984 Caslano-Pura - 103835</t>
  </si>
  <si>
    <t>2085 Caslano 1-7338 mig-ENI</t>
  </si>
  <si>
    <t>Migrol Service - St. Gallerstrasse 47 - 9300 Wittenbach - 103369</t>
  </si>
  <si>
    <t>Wittenbach-Kronbühl (MIGROL-ST-4167100)</t>
  </si>
  <si>
    <t>Migrol Service - Glarnerstrasse 77 - Siebnen - 103326</t>
  </si>
  <si>
    <t>Siebnen (MIGROL-ST-4167159)</t>
  </si>
  <si>
    <t>QS-PerformanceTest Sub Site (177/300)</t>
  </si>
  <si>
    <t>Piccadilly SA (2086) - Via Cantonale 36 - 6987 Caslano - 104210</t>
  </si>
  <si>
    <t>2086 Caslano 2-7379 mig-ENI</t>
  </si>
  <si>
    <t>Coop Pronto - Thunstrasse 22 - 3110 Münsingen - 103680</t>
  </si>
  <si>
    <t>Münsingen (SAP 3197)</t>
  </si>
  <si>
    <t>Coop Pronto - Frauenfeldstrasse 6 - 9542 Münchwilen TG - 104043</t>
  </si>
  <si>
    <t>Münchwilen (SAP 4185)</t>
  </si>
  <si>
    <t>Piccadilly SA (2087) - Strada Regina 23 - 6934 Bioggio - 103836</t>
  </si>
  <si>
    <t>2087 Bioggio-7344 mio-SOCAR</t>
  </si>
  <si>
    <t>QS-PerformanceTest Sub Site (176/300)</t>
  </si>
  <si>
    <t>Migrol Service - Weidenweg 272 - 3902 Glis - 104225</t>
  </si>
  <si>
    <t>Glis, Weidenweg 272 (MIGROL-ST-4167366)</t>
  </si>
  <si>
    <t>Coop Pronto - Rue de Lausanne - 1110 Morges - 101528</t>
  </si>
  <si>
    <t>Morges (SAP 3735)</t>
  </si>
  <si>
    <t>QS-PerformanceTest Sub Site (175/300)</t>
  </si>
  <si>
    <t>Migrol Tankstelle - Krummeneichstrasse 39 - 4133 Pratteln - 103769</t>
  </si>
  <si>
    <t>Pratteln, Krummeneichstrasse 39 (MIGROL-ST-4167219)</t>
  </si>
  <si>
    <t>Piccadilly SA (2088) - Via Trevano 69 - 6900 Lugano - 103845</t>
  </si>
  <si>
    <t>2088 Lugano-7330 mig-SOCAR</t>
  </si>
  <si>
    <t>QS-PerformanceTest Sub Site (174/300)</t>
  </si>
  <si>
    <t>Piccadilly SA (2089) - Via San Gottardo 5 - 6943 Vezia - 103837</t>
  </si>
  <si>
    <t>2089 Vezia-7354 mig-SOCAR</t>
  </si>
  <si>
    <t>Coop Pronto - Les Ilettes - 1870 Monthey - 101360</t>
  </si>
  <si>
    <t>Monthey (SAP 3488)</t>
  </si>
  <si>
    <t>Migrol Tankstelle - Weststrasse 10 - Thun - 103569</t>
  </si>
  <si>
    <t>Thun, Weststrasse (MIGROL-ST-4167193)</t>
  </si>
  <si>
    <t>Coop Pronto - Via Rinaldo Simen 58 - 6648 Minusio - 104140</t>
  </si>
  <si>
    <t>Minusio (SAP 5179)</t>
  </si>
  <si>
    <t>Migrol Tankstelle - Wilerstrasse 90 - Gossau - 103486</t>
  </si>
  <si>
    <t>Gossau (MIGROL-ST-4167186)</t>
  </si>
  <si>
    <t>QS-PerformanceTest Sub Site (173/300)</t>
  </si>
  <si>
    <t>Piccadilly SA (2090) - Via al Lido 11 - 6962 Viganello - 103846</t>
  </si>
  <si>
    <t>2090 Viganello-7355 mig-SOCAR</t>
  </si>
  <si>
    <t>QS-PerformanceTest Sub Site (172/300)</t>
  </si>
  <si>
    <t>Piccadilly SA (2050) - Via Canova 7 - 6852 Genestrerio - 103822</t>
  </si>
  <si>
    <t>2050 Genestrerio-7326 mig-SOCAR</t>
  </si>
  <si>
    <t>Coop Pronto - Hauptstrasse 14 - 5737 Menziken - 104192</t>
  </si>
  <si>
    <t>Menziken (SAP 5002)</t>
  </si>
  <si>
    <t>Migrol Service - Feldstrasse 6 - 8105 Regensdorf - 103283</t>
  </si>
  <si>
    <t>Regensdorf (MIGROL-ST-4167089)</t>
  </si>
  <si>
    <t>Piccadilly SA (2051) - Via San Gottardo 37 - 6877 Coldrerio - 103821</t>
  </si>
  <si>
    <t>2051 Coldrerio 1-7328 mio-SOCAR</t>
  </si>
  <si>
    <t>Coop Pronto - Grossfeldstrasse 65 - 8887 Mels - 101408</t>
  </si>
  <si>
    <t>Mels (SAP 3470)</t>
  </si>
  <si>
    <t>QS-PerformanceTest Sub Site (171/300)</t>
  </si>
  <si>
    <t>Migrol Service - Toggenburgerstrasse 129 - 9500 Wil SG - 103267</t>
  </si>
  <si>
    <t>Wil, Toggenburgerstrasse 129 (MIGROL-ST-4167096)</t>
  </si>
  <si>
    <t>QS-PerformanceTest Sub Site (170/300)</t>
  </si>
  <si>
    <t>Piccadilly SA (2052) - Via San Gottardo 12 - 6877 Coldrerio - 104282</t>
  </si>
  <si>
    <t>2052 Coldrerio 2-PiCA</t>
  </si>
  <si>
    <t>Migrol Service - Rautistrasse 32 - 8047 Zürich - 103309</t>
  </si>
  <si>
    <t>Zürich, Rautistrasse 32 (MIGROL-ST-4167095)</t>
  </si>
  <si>
    <t>Coop Pronto - Bahnhofstrasse 80 - 5507 Mellingen - 101482</t>
  </si>
  <si>
    <t>Mellingen (SAP 3587)</t>
  </si>
  <si>
    <t>Coop Pronto - Frauenfelderstrasse 93 - 9548 Matzingen - 103876</t>
  </si>
  <si>
    <t>Matzingen (SAP 4877)</t>
  </si>
  <si>
    <t>QS-PerformanceTest Sub Site (169/300)</t>
  </si>
  <si>
    <t>Migrol Service - Seftigenstrasse 350 - 3084 Wabern - 103244</t>
  </si>
  <si>
    <t>Businesspartner:Privatshop,CiRRUSFeatureFlag:UseEnginePos,Migrol</t>
  </si>
  <si>
    <t>Wabern, Seftigenstrasse 350 (MIGROL-ST-4167133)</t>
  </si>
  <si>
    <t>Piccadilly SA (2055) - Via Franscini - 6850 Mendrisio - 103814</t>
  </si>
  <si>
    <t>2055 Via Franscini-7323 mig-SOCAR</t>
  </si>
  <si>
    <t>QS-PerformanceTest Sub Site (168/300)</t>
  </si>
  <si>
    <t>Coop Pronto - Route de Bois - 1753 Matran - 101376</t>
  </si>
  <si>
    <t>Matran (SAP 3487)</t>
  </si>
  <si>
    <t>Piccadilly SA (2058) - Via Zorzi 4 - 6850 Mendrisio - 103818</t>
  </si>
  <si>
    <t>2058 Via Zorzi-7332 mio-SOCAR</t>
  </si>
  <si>
    <t>Migrol Service - Zollstrasse 6 - 8219 Trasadingen - 103353</t>
  </si>
  <si>
    <t>Trasadingen (MIGROL-ST-4168015)</t>
  </si>
  <si>
    <t>Coop Pronto - Bollstrasse 30 - 3076 Worb - 104237</t>
  </si>
  <si>
    <t>Worb (SAP 5396)</t>
  </si>
  <si>
    <t>QS-PerformanceTest Sub Site (167/300)</t>
  </si>
  <si>
    <t>Piccadilly SA (2062) - Via Confine 27 - 6827 Brusino - 103817</t>
  </si>
  <si>
    <t>2062 Brusino-7356 mio-ENI</t>
  </si>
  <si>
    <t>Migrol Service - Route de Matran 13-15- Avry-sur-Matran - 103436</t>
  </si>
  <si>
    <t>Avry (MIGROL-ST-4168001)</t>
  </si>
  <si>
    <t>Migrol Service - Hinterbergstrasse 39 - Steinhausen - 103257</t>
  </si>
  <si>
    <t>Steinhausen (MIGROL-ST-4167178)</t>
  </si>
  <si>
    <t>Coop Pronto - Hauptstrasse 36 - 4415 Lausen - 101548</t>
  </si>
  <si>
    <t>Lausen (SAP 3810)</t>
  </si>
  <si>
    <t>Piccadilly SA (2064) - Via Cantonale - 6825 Capolago - 103816</t>
  </si>
  <si>
    <t>2064 Capolago-7325 mig-SOCAR</t>
  </si>
  <si>
    <t>QS-PerformanceTest Sub Site (166/300)</t>
  </si>
  <si>
    <t>Migrol Auto Service - Pizolpark - 8887 Mels (Pizolpark) - 103302</t>
  </si>
  <si>
    <t>Businesspartner:Privatshop,Migrol</t>
  </si>
  <si>
    <t>Mels, Pizol-Park (MIGROL-ST-4166504)</t>
  </si>
  <si>
    <t>Piccadilly SA (2065) - Via Cantonale 10 - 6818 Melano - 103815</t>
  </si>
  <si>
    <t>2065 Melano-7324 mig-ENI</t>
  </si>
  <si>
    <t>QS-PerformanceTest Sub Site (165/300)</t>
  </si>
  <si>
    <t>Coop Pronto - Bottmingerstrasse 65 - 4142 Münchenstein - 104253</t>
  </si>
  <si>
    <t>Münchenstein (SAP 5356)</t>
  </si>
  <si>
    <t>QS-PerformanceTest Sub Site (164/300)</t>
  </si>
  <si>
    <t>Coop Pronto - Alte Belpstrasse 4 - 3113 Rubigen - 103702</t>
  </si>
  <si>
    <t>Rubigen (SAP 4006)</t>
  </si>
  <si>
    <t>Migrol Auto Service - Industriestrasse 10 - 3321 Schönbühl EKZ - 103305</t>
  </si>
  <si>
    <t>Schönbühl-Shoppyland (MIGROL-ST-4167202)</t>
  </si>
  <si>
    <t>Piccadilly SA (2035) - Via San Gottardo 32 - 6828 Balerna-Bisio 2 - 103805</t>
  </si>
  <si>
    <t>2035 Bisio 2-7341 mig-ENI</t>
  </si>
  <si>
    <t>QS-PerformanceTest Sub Site (163/300)</t>
  </si>
  <si>
    <t>Piccadilly SA (2040) - Via Marcetto - 6883 Novazzano - 103806</t>
  </si>
  <si>
    <t>2040 Novazzano-7357 mio-ENI</t>
  </si>
  <si>
    <t>Migrol Service - Stuedliackerstrasse 4 - Schaffhausen - 103365</t>
  </si>
  <si>
    <t>Schaffhausen-Herblingen (MIGROL-ST-4166505)</t>
  </si>
  <si>
    <t>Coop Pronto - Blegistrasse 2 - 6343 Rotkreuz - 101539</t>
  </si>
  <si>
    <t>Rotkreuz (SAP 3789)</t>
  </si>
  <si>
    <t>Migrol Auto Service - Gwattstrasse 7 - 8808 Pfäffikon SZ - 103463</t>
  </si>
  <si>
    <t>Pfäffikon - Seedamm (MIGROL-ST-4168145)</t>
  </si>
  <si>
    <t>Coop Pronto - Neue Aarburgerstrasse 2 - 4852 Rothrist - 104015</t>
  </si>
  <si>
    <t>Rothrist (SAP 4859)</t>
  </si>
  <si>
    <t>QS-PerformanceTest Sub Site (162/300)</t>
  </si>
  <si>
    <t>Piccadilly SA (2041) - Via Cios - 6882 Brusata 1 - 103807</t>
  </si>
  <si>
    <t>2041 Brusata 1-7347 mio-SOCAR</t>
  </si>
  <si>
    <t>QS-PerformanceTest Sub Site (161/300)</t>
  </si>
  <si>
    <t>Migrol Service - Zugerstrasse 5 - 6030 Ebikon - 103363</t>
  </si>
  <si>
    <t>Ebikon, Zugerstrasse 5 (MIGROL-ST-4167188)</t>
  </si>
  <si>
    <t>Piccadilly SA (2042) - Via Cios - 6882 Brusata 2 - 103808</t>
  </si>
  <si>
    <t>2042 Brusata 2-7348 mig-ENI</t>
  </si>
  <si>
    <t>Coop Pronto - Thurgauerstrasse 35 - 9400 Rorschach - 101359</t>
  </si>
  <si>
    <t>Rorschach Thurgauerstrasse (SAP 3452)</t>
  </si>
  <si>
    <t>Coop Pronto - St. Gallerstrasse 52 - 9400 Rorschach - 101534</t>
  </si>
  <si>
    <t>Rorschach St.Gallerstrasse (SAP 3771)</t>
  </si>
  <si>
    <t>Migrol Service - Wynecenter - Buchs AG - 103292</t>
  </si>
  <si>
    <t>Buchs Wynecenter (MIGROL-ST-4167180)</t>
  </si>
  <si>
    <t>Piccadilly SA (2045) - Via Gaggiolo 33 - 6855 Stabio Metkon - 103827</t>
  </si>
  <si>
    <t>Businesspartner:migrolino</t>
  </si>
  <si>
    <t>2045 Stabio-7353 mig-PiCA</t>
  </si>
  <si>
    <t>QS-PerformanceTest Sub Site (160/300)</t>
  </si>
  <si>
    <t>QS-PerformanceTest Sub Site (159/300)</t>
  </si>
  <si>
    <t>Migrol Auto Service - Wankdorffeldstrasse 90 - 3014 Bern - 103291</t>
  </si>
  <si>
    <t>Bern-Wankdorf (MIGROL-ST-4168138)</t>
  </si>
  <si>
    <t>Piccadilly SA (2046) - Via Gaggiolo 45 - 6855 Stabio Gaggiolo 1 - 103826</t>
  </si>
  <si>
    <t>2046 Gaggiolo 1-7349 mio-ENI</t>
  </si>
  <si>
    <t>Coop Pronto - Luzernerstrasse 80 - 6037 Root - 104235</t>
  </si>
  <si>
    <t>Root (SAP 4933)</t>
  </si>
  <si>
    <t>Stazione Migrol - Via Lugano 21 - Agno - 101018</t>
  </si>
  <si>
    <t>Agno (MIGROL-ST-4167187)</t>
  </si>
  <si>
    <t>Coop Pronto - Bahnhofstrasse 73 - 8590 Romanshorn - 101369</t>
  </si>
  <si>
    <t>Romanshorn (SAP 3449)</t>
  </si>
  <si>
    <t>Piccadilly SA (2049) - Via Cantinetta - 6853 Ligornetto - 103823</t>
  </si>
  <si>
    <t>2049 Ligornetto-7351 mig-ENI</t>
  </si>
  <si>
    <t>QS-PerformanceTest Sub Site (158/300)</t>
  </si>
  <si>
    <t>Migrol Service - Hauptstrasse 87 - Ipsach - 104299</t>
  </si>
  <si>
    <t>Ipsach (MIGROL-ST-4167392)</t>
  </si>
  <si>
    <t>Piccadilly SA (2023) - Via M. Comacini 10 - 6830 Chiasso - 103800</t>
  </si>
  <si>
    <t>2023 Via Comacini-Coop-SOCAR</t>
  </si>
  <si>
    <t>QS-PerformanceTest Sub Site (157/300)</t>
  </si>
  <si>
    <t>Coop Pronto - Obermattstrasse 1 - 8805 Richterswil - 101524</t>
  </si>
  <si>
    <t>Richterswil (SAP 3628)</t>
  </si>
  <si>
    <t>Piccadilly SA (2025) - Via Como 7 - 6830 Chiasso - 103801</t>
  </si>
  <si>
    <t>2025 Via Como-7339 mio-ENI</t>
  </si>
  <si>
    <t>Migrol Service - Pont de Félezin - Romanel-s-Lausanne - 103658</t>
  </si>
  <si>
    <t>Romanel (MIGROL-ST-4166502)</t>
  </si>
  <si>
    <t>Coop Pronto - Zürcherstrasse 49 - 4310 Rheinfelden - 101422</t>
  </si>
  <si>
    <t>Rheinfelden (SAP 3472)</t>
  </si>
  <si>
    <t>QS-PerformanceTest Sub Site (156/300)</t>
  </si>
  <si>
    <t>Piccadilly SA (2029) - Via Tinelle 20 - 6832 Pedrinate 1 - 103802</t>
  </si>
  <si>
    <t>2029 Pedrinate 1-7345 mig-ENI</t>
  </si>
  <si>
    <t>Migrol Service - Murgenthalstrasse 17 - 4900 Langenthal - 101014</t>
  </si>
  <si>
    <t>Langenthal, Murgenthalstrasse 17 (MIGROL-ST-4166607)</t>
  </si>
  <si>
    <t>Coop Pronto - Rorschacherstrasse 92 - 9424 Rheineck - 101494</t>
  </si>
  <si>
    <t>Rheineck (SAP 3701)</t>
  </si>
  <si>
    <t>QS-PerformanceTest Sub Site (155/300)</t>
  </si>
  <si>
    <t>Migrol Beringen - Industriestrasse 8 - Beringen - 104309</t>
  </si>
  <si>
    <t>Beringen, Industriestrasse (MIGROL-ST-4166684)</t>
  </si>
  <si>
    <t>Piccadilly SA (2033) - Via Passeggiata - 6828 Balerna Roncaglia - 103803</t>
  </si>
  <si>
    <t>2033 Roncaglia-7329 mio-ENI</t>
  </si>
  <si>
    <t>QS-PerformanceTest Sub Site (154/300)</t>
  </si>
  <si>
    <t>Coop Pronto - Centre commercial Riviera - 1847 Rennaz - 101463</t>
  </si>
  <si>
    <t>Rennaz (SAP 3499)</t>
  </si>
  <si>
    <t>Coop Pronto - Aarauerstrasse 68 - 5734 Reinach AG - 101368</t>
  </si>
  <si>
    <t>Reinach (SAP 3448)</t>
  </si>
  <si>
    <t>QS-PerformanceTest Sub Site (153/300)</t>
  </si>
  <si>
    <t>Piccadilly SA (2034) - Via San Gottardo 13 - 6828 Balerna-Bisio 1 - 103804</t>
  </si>
  <si>
    <t>2034 Bisio 1-7340 mio-ENI</t>
  </si>
  <si>
    <t>Migrol Tankstelle - Bleichestrasse 15 - 8280 Kreuzlingen - 103316</t>
  </si>
  <si>
    <t>Kreuzlingen Seepark (MIGROL-ST-4166678)</t>
  </si>
  <si>
    <t>Migrol Service - Petersburg 343b - Ramsen - 103428</t>
  </si>
  <si>
    <t>Ramsen Petersburg 343b (MIGROL-ST-4167139)</t>
  </si>
  <si>
    <t>QS-PerformanceTest Sub Site (152/300)</t>
  </si>
  <si>
    <t>Coop Pronto - Adlikerstrasse 285 - 8105 Regensdorf - 101330</t>
  </si>
  <si>
    <t>Regensdorf (SAP 3462)</t>
  </si>
  <si>
    <t>Coop Pronto - Rue du Bruye 65 - 2732 Reconvilier - 101489</t>
  </si>
  <si>
    <t>Reconvilier (SAP 3703)</t>
  </si>
  <si>
    <t>Migrol Service - Route de Bâle 88 - 2800 Delémont - 103360</t>
  </si>
  <si>
    <t>CiRRUSFeatureFlag:UseEnginePos,CustomerBrand-MIO,Migrol</t>
  </si>
  <si>
    <t>Delémont (MIGROL-ST-4167137)</t>
  </si>
  <si>
    <t>QS-PerformanceTest Sub Site (151/300)</t>
  </si>
  <si>
    <t>Pratteln Gallenweg 101427</t>
  </si>
  <si>
    <t>Migrol Service - Mittelstrasse 16 - 3012 Bern - 103488</t>
  </si>
  <si>
    <t>Bern, Mittelstrasse 16 (MIGROL-ST-4168144)</t>
  </si>
  <si>
    <t>QS-PerformanceTest Sub Site (150/300)</t>
  </si>
  <si>
    <t>Migrol Service - Wehntalerstrasse 387 - 8046 Zürich - 102137</t>
  </si>
  <si>
    <t>Zürich, Wehntalerstrasse 387 (MIGROL-ST-4167094)</t>
  </si>
  <si>
    <t>Coop Pronto - Allmendstrasse 49 - 2562 Port - 104134</t>
  </si>
  <si>
    <t>Port (SAP 5095)</t>
  </si>
  <si>
    <t>QS-PerformanceTest Sub Site (149/300)</t>
  </si>
  <si>
    <t>Coop Pronto - Route de Courgenay 18 - 2900 Porrentruy - 104236</t>
  </si>
  <si>
    <t>Porrentruy Courgenay (SAP 5347)</t>
  </si>
  <si>
    <t>Migrol Tankstelle - Winterthurerstrasse 692 - Zürich - 103383</t>
  </si>
  <si>
    <t>Zürich, Winterthurerstr. 692 (MIO-ST-4167122)</t>
  </si>
  <si>
    <t>QS-PerformanceTest Sub Site (148/300)</t>
  </si>
  <si>
    <t>Coop Pronto - Chemin de Champ-Budin 1A - 1258 Perly - 103723</t>
  </si>
  <si>
    <t>Perly (SAP 3841)</t>
  </si>
  <si>
    <t>Migrol Service - Industriestrasse 43 - Winterthur - 103341</t>
  </si>
  <si>
    <t>Winterthur, Industriestrasse 43 (MIO-ST-4167484)</t>
  </si>
  <si>
    <t>QS-PerformanceTest Sub Site (147/300)</t>
  </si>
  <si>
    <t>QS-PerformanceTest Sub Site (146/300)</t>
  </si>
  <si>
    <t>Coop Pronto - Grünaustrasse 1 - 9300 Wittenbach - 103677</t>
  </si>
  <si>
    <t>Wittenbach (SAP 4578)</t>
  </si>
  <si>
    <t>Stazione Migrol - Via Cantonale - 6934 Bioggio - 103381</t>
  </si>
  <si>
    <t>Bioggio (MIGROL-ST-4168135)</t>
  </si>
  <si>
    <t>Migrol Tankstelle - Breitenbachstrasse 52 - 4225 Brislach - 101150</t>
  </si>
  <si>
    <t>Brislach (MIGROL-ST-4166623)</t>
  </si>
  <si>
    <t>QS-PerformanceTest Sub Site (145/300)</t>
  </si>
  <si>
    <t>Coop Pronto - Industriestrasse 23 - 5303 Würenlingen - 101487</t>
  </si>
  <si>
    <t>Würenlingen (SAP 3581)</t>
  </si>
  <si>
    <t>QS-PerformanceTest Sub Site (144/300)</t>
  </si>
  <si>
    <t>Stazione Migrol - Via Locarno 14 - 6612 Ascona - 104158</t>
  </si>
  <si>
    <t>Ascona (MIGROL-ST-4168013)</t>
  </si>
  <si>
    <t>Coop Pronto - Raimattstrasse 125 - 5610 Wohlen AG - 101515</t>
  </si>
  <si>
    <t>Wohlen (SAP 3732)</t>
  </si>
  <si>
    <t>QS-PerformanceTest Sub Site (143/300)</t>
  </si>
  <si>
    <t>Migrol Station - Zürcherstrasse 158 - 8102 Oberengstringen - 103378</t>
  </si>
  <si>
    <t>Oberengstringen (MIO-ST-4167145)</t>
  </si>
  <si>
    <t>Coop Pronto - Hinwilerstrasse 11 - 8623 Wetzikon ZH - 101413</t>
  </si>
  <si>
    <t>Wetzikon (SAP 3469)</t>
  </si>
  <si>
    <t>Migrol Tankstelle - Linth-Escherstrasse 1 - 8865 Bilten - 103430</t>
  </si>
  <si>
    <t>Bilten (MIGROL-ST-4166663)</t>
  </si>
  <si>
    <t>Coop Pronto - Landstrasse 151 - 5430 Wettingen - 103891</t>
  </si>
  <si>
    <t>Wettingen (SAP 4994)</t>
  </si>
  <si>
    <t>QS-PerformanceTest Sub Site (142/300)</t>
  </si>
  <si>
    <t>QS-PerformanceTest Sub Site (141/300)</t>
  </si>
  <si>
    <t>Coop Pronto - Fichtenstrasse 20 - 8570 Weinfelden - 101354</t>
  </si>
  <si>
    <t>Weinfelden (SAP 3418)</t>
  </si>
  <si>
    <t>Migrol Service - Chemin de Closalet 7 - Crissier - 103987</t>
  </si>
  <si>
    <t>Crissier (MIGROL-ST-4166501)</t>
  </si>
  <si>
    <t>Coop Pronto - Wilerstrasse 48 - 9630 Wattwil - 101356</t>
  </si>
  <si>
    <t>Wattwil (SAP 3438)</t>
  </si>
  <si>
    <t>QS-PerformanceTest Sub Site (140/300)</t>
  </si>
  <si>
    <t>Stazione Migrol - Viale Serfontana - Morbio Inferiore - 101017</t>
  </si>
  <si>
    <t>Morbio Inferiore, Serfontana (MIGROL-ST-4166631)</t>
  </si>
  <si>
    <t>Coop Pronto - Dorfstrasse 20 - 4612 Wangen b. Olten - 101349</t>
  </si>
  <si>
    <t>Wangen (SAP 3417)</t>
  </si>
  <si>
    <t>Stazione Migrol - Via Emmaus 1 - Losone - 104160</t>
  </si>
  <si>
    <t>Losone (MIGROL-ST-4166583)</t>
  </si>
  <si>
    <t>QS-PerformanceTest Sub Site (139/300)</t>
  </si>
  <si>
    <t>Migrol Auto Service - Rue du Locle 64 - 2300 La Chaux-de-Fonds - 103361</t>
  </si>
  <si>
    <t>Businesspartner:Privatshop</t>
  </si>
  <si>
    <t>La Chaux-de-Fonds (MIGROL-ST-4167116)</t>
  </si>
  <si>
    <t>Coop Pronto - Chlirietstrasse 1 - 8604 Volketswil - 104223</t>
  </si>
  <si>
    <t>Volketswil Chlirietstrasse (SAP 5412)</t>
  </si>
  <si>
    <t>QS-PerformanceTest Sub Site (138/300)</t>
  </si>
  <si>
    <t>Migrol Tankstelle - Talstrasse 88 - 7563 Samnaun Dorf - 103672</t>
  </si>
  <si>
    <t>Samnaun-Dorf, Hauptstrasse (MIGROL-ST-4168146)</t>
  </si>
  <si>
    <t>Coop Pronto - Wehreyering 1 - 3930 Visp - 101559</t>
  </si>
  <si>
    <t>Visp (SAP 3947)</t>
  </si>
  <si>
    <t>QS-PerformanceTest Sub Site (137/300)</t>
  </si>
  <si>
    <t>Migrol Service - Via Chantunela 4 - 7522 La Punt-Chamues-ch - 103446</t>
  </si>
  <si>
    <t>La Punt (MIGROL-ST-4168000)</t>
  </si>
  <si>
    <t>Villars-sur-Glâne 103875</t>
  </si>
  <si>
    <t>Villars-sur-Glâne (SAP 4961)</t>
  </si>
  <si>
    <t>QS-PerformanceTest Sub Site (136/300)</t>
  </si>
  <si>
    <t>Migrol Station - Hofmatt-Garage - Hauptstrasse 93 - 5737 Menziken - 102074</t>
  </si>
  <si>
    <t>Menziken (MIGROL-ST-4168132)</t>
  </si>
  <si>
    <t>QS-PerformanceTest Sub Site (135/300)</t>
  </si>
  <si>
    <t>Coop Pronto - Chemin de la Bichette 4 - 1267 Vich-Coinsins - 101440</t>
  </si>
  <si>
    <t>Vich (SAP 3525)</t>
  </si>
  <si>
    <t>Coop Pronto - Rue du Clos 16 - 1800 Vevey - 103903</t>
  </si>
  <si>
    <t>Vevey Rue du Clos (SAP 4939)</t>
  </si>
  <si>
    <t>QS-PerformanceTest Sub Site (134/300)</t>
  </si>
  <si>
    <t>Migrol Service - Route de Thonon 345 - 1247 Anières - 103474</t>
  </si>
  <si>
    <t>Anières (MIGROL-ST-4168133)</t>
  </si>
  <si>
    <t>Migrol Service - Avenue de Bel-Air 12 - 1225 Chêne-Bourg - 103273</t>
  </si>
  <si>
    <t>Genève - Chêne-Bourg, Av. De Bel-Air 12 (MIGROL-ST-4166503)</t>
  </si>
  <si>
    <t>Coop Pronto - Landstrasse 19 - 9490 Vaduz - 103570</t>
  </si>
  <si>
    <t>Vaduz (SAP 4530)</t>
  </si>
  <si>
    <t>QS-PerformanceTest Sub Site (133/300)</t>
  </si>
  <si>
    <t>QS-PerformanceTest Sub Site (132/300)</t>
  </si>
  <si>
    <t>Station Migrol - Rue des Eterpaz 2 - Vallorbe - 103418</t>
  </si>
  <si>
    <t>Vallorbe (MIGROL-ST-4167104)</t>
  </si>
  <si>
    <t>Coop Pronto - Wattstrasse 3 - 9240 Uzwil - 101367</t>
  </si>
  <si>
    <t>Uzwil (SAP 3458)</t>
  </si>
  <si>
    <t>QS-PerformanceTest Sub Site (131/300)</t>
  </si>
  <si>
    <t>Coop Pronto - Pantunweg - 7430 Thusis - 101568</t>
  </si>
  <si>
    <t>Thusis (SAP 3730)</t>
  </si>
  <si>
    <t>Station Migrol - Route Suisse 45 - 1196 Gland - 103673</t>
  </si>
  <si>
    <t>Gland, Rte Suisse 45 (MIGROL-ST-4168136)</t>
  </si>
  <si>
    <t>QS-PerformanceTest Sub Site (130/300)</t>
  </si>
  <si>
    <t>Migrol Service - Gunzgen-Nord - 4617 Gunzgen - 103429</t>
  </si>
  <si>
    <t>NAC (Port Security) By BiCA,Businesspartner:Privatshop,CiRRUSFeatureFlag:UseEnginePos,Migrol</t>
  </si>
  <si>
    <t>Gunzgen (MIGROL-ST-4168131)</t>
  </si>
  <si>
    <t>Coop Pronto - Krankenhausstrasse 1 - 3600 Thun - 101570</t>
  </si>
  <si>
    <t>Thun Krankenhausstrasse (SAP 3946)</t>
  </si>
  <si>
    <t>QS-PerformanceTest Sub Site (129/300)</t>
  </si>
  <si>
    <t>Coop Pronto - Frutigenstrasse 71 - 3604 Thun-Strättligen - 101518</t>
  </si>
  <si>
    <t>Thun-StrÃ¤ttligen (SAP 3729)</t>
  </si>
  <si>
    <t>Migrol Service - Riehenstrasse 52 - Basel - 101016</t>
  </si>
  <si>
    <t>Basel Riehenstrasse (MIGROL-ST-4167200)</t>
  </si>
  <si>
    <t>Coop Pronto - Oberwilerstrasse 40 - 4106 Therwil - 101334</t>
  </si>
  <si>
    <t>Therwil (SAP 3444)</t>
  </si>
  <si>
    <t>Migrol Tankstelle - Hauptstrasse 128 - 6182 Escholzmatt - 103529</t>
  </si>
  <si>
    <t>Escholzmatt (MIGROL-ST-4168003)</t>
  </si>
  <si>
    <t>QS-PerformanceTest Sub Site (128/300)</t>
  </si>
  <si>
    <t>QS-PerformanceTest Sub Site (127/300)</t>
  </si>
  <si>
    <t>Coop Pronto - Seestrasse 67 - 8800 Thalwil - 101351</t>
  </si>
  <si>
    <t>Thalwil (SAP 3440)</t>
  </si>
  <si>
    <t>Migrol Service - Zugerstrasse 53 - 6340 Baar - 103630</t>
  </si>
  <si>
    <t>Baar (MIGROL-ST-4168140)</t>
  </si>
  <si>
    <t>Garage Aminona Jean Rudaz SA - Route de Sion 111 - 3960 Sierre - 102091</t>
  </si>
  <si>
    <t>Sierre (MIGROL-ST-4168141)</t>
  </si>
  <si>
    <t>Coop Pronto - Route de Morges 20 - 1162 St-Prex - 103377</t>
  </si>
  <si>
    <t>St-Prex (SAP 4052)</t>
  </si>
  <si>
    <t>QS-PerformanceTest Sub Site (126/300)</t>
  </si>
  <si>
    <t>QS-PerformanceTest Sub Site (125/300)</t>
  </si>
  <si>
    <t>Coop Pronto - Grenzstrasse 21 - 9430 St. Margrethen SG - 101331</t>
  </si>
  <si>
    <t>St.Margrethen (SAP 3420)</t>
  </si>
  <si>
    <t>Migrol Service - Route du Simplon 79 - 1895 Vionnaz - 103477</t>
  </si>
  <si>
    <t>Vionnaz (MIGROL-ST-4167160)</t>
  </si>
  <si>
    <t>Coop Pronto - Rorschacherstrasse 216/218 - 9000 St. Gallen - 101438</t>
  </si>
  <si>
    <t>St.Gallen Rorschacherstrasse (SAP 3514)</t>
  </si>
  <si>
    <t>QS-PerformanceTest Sub Site (124/300)</t>
  </si>
  <si>
    <t>Migrol Tankstelle - Unterstrasse 24 - 3360 Herzogenbuchsee - 103556</t>
  </si>
  <si>
    <t>Herzogenbuchsee (MIGROL-ST-4167120)</t>
  </si>
  <si>
    <t>Station Migrol - Route de Sion - Grimisuat - 102131</t>
  </si>
  <si>
    <t>Champlan (MIGROL-ST-4168073)</t>
  </si>
  <si>
    <t>Coop Pronto - Favrestrasse 6 - 9016 St. Gallen - 101380</t>
  </si>
  <si>
    <t>St.Gallen Favrestrasse (SAP 3459)</t>
  </si>
  <si>
    <t>QS-PerformanceTest Sub Site (123/300)</t>
  </si>
  <si>
    <t>Migrol Tankstelle - Rodtmattstrasse 109 - 3014 Bern - 102109</t>
  </si>
  <si>
    <t>Bern, Rodtmattstrasse 109 (MIGROL-ST-4168142)</t>
  </si>
  <si>
    <t>Coop Pronto - Simmentalstrasse 50 - 3700 Spiez - 101593</t>
  </si>
  <si>
    <t>Spiez (SAP 4519)</t>
  </si>
  <si>
    <t>QS-PerformanceTest Sub Site (122/300)</t>
  </si>
  <si>
    <t>Coop Pronto - Rue des Casernes 17 - 1950 Sion - 101454</t>
  </si>
  <si>
    <t>Sion Casernes (SAP 3566)</t>
  </si>
  <si>
    <t>QS-PerformanceTest Sub Site (121/300)</t>
  </si>
  <si>
    <t>Station Migrol - Route Cantonale 32 - 1964 Conthey - 102105</t>
  </si>
  <si>
    <t>Conthey, Est (MIGROL-ST-4166649)</t>
  </si>
  <si>
    <t>Coop Pronto - Route de Sion 115 - 3960 Sierre - 101384</t>
  </si>
  <si>
    <t>Sierre Sion (SAP 3490)</t>
  </si>
  <si>
    <t>Migrol Service - Route du Grand-St-Bernard 5 - 1933 Sembrancher - 104302</t>
  </si>
  <si>
    <t>Sembrancher (MIGROL-ST-4168123)</t>
  </si>
  <si>
    <t>QS-PerformanceTest Sub Site (120/300)</t>
  </si>
  <si>
    <t>Migrol Service - Petersburg 416 - 8262 Ramsen 102092</t>
  </si>
  <si>
    <t>Ramsen, Petersburg 416 (MIGROL-ST-4168139)</t>
  </si>
  <si>
    <t>QS-PerformanceTest Sub Site (119/300)</t>
  </si>
  <si>
    <t>Coop Pronto - Route de la Gemmi - 3960 Sierre - 101574</t>
  </si>
  <si>
    <t>Sierre Gemmi (SAP 4238)</t>
  </si>
  <si>
    <t>QS-PerformanceTest Sub Site (118/300)</t>
  </si>
  <si>
    <t>Coop Pronto - Route du Grand-St-Bernard 1 - 1933 Sembrancher - 101577</t>
  </si>
  <si>
    <t>Sembrancher (SAP 4062)</t>
  </si>
  <si>
    <t>Migrol Tankstelle - Haafpuent 1 - 8233 Bargen SH - 103491</t>
  </si>
  <si>
    <t>Bargen (MIGROL-ST-4167124)</t>
  </si>
  <si>
    <t>Migrol Service - Im Hanselmaa 2 - 8132 Egg b. Zürich - 103663</t>
  </si>
  <si>
    <t>Egg (MIGROL-ST-4167132) - Retired</t>
  </si>
  <si>
    <t>QS-PerformanceTest Sub Site (117/300)</t>
  </si>
  <si>
    <t>Coop Pronto - Steinbislin 3 - 6423 Seewen SZ - 101476</t>
  </si>
  <si>
    <t>Seewen Steinbislin (SAP 3578)</t>
  </si>
  <si>
    <t>QS-PerformanceTest Sub Site (116/300)</t>
  </si>
  <si>
    <t>Coop Pronto - Bahnhofstrasse 156 - 6423 Seewen SZ - 101472</t>
  </si>
  <si>
    <t>Seewen Bahnhofstrasse (SAP 3547)</t>
  </si>
  <si>
    <t>Migrol Tankstelle - Hauptstrasse 25 - 8507 Hörhausen - 103434</t>
  </si>
  <si>
    <t>Hörhausen (MIGROL-ST-4168063)</t>
  </si>
  <si>
    <t>Migrol Tankstelle - Gontenstrasse 8 - 9050 Appenzell - 103432</t>
  </si>
  <si>
    <t>Appenzell (MIGROL-ST-4168143)</t>
  </si>
  <si>
    <t>QS-PerformanceTest Sub Site (115/300)</t>
  </si>
  <si>
    <t>Coop Pronto - Gösgerstrasse 28 - 5012 Schönenwerd - 101592</t>
  </si>
  <si>
    <t>Schönenwerd (SAP 4031)</t>
  </si>
  <si>
    <t>QS-PerformanceTest Sub Site (114/300)</t>
  </si>
  <si>
    <t>Coop Pronto - Sandstrasse 8 - 3322 Urtenen-Schönbühl - 103871</t>
  </si>
  <si>
    <t>Urtenen-Schönbühl (SAP 5159)</t>
  </si>
  <si>
    <t>Migrol Tankstelle - Hauptstrasse 66 - 5032 Rohr - 103528</t>
  </si>
  <si>
    <t>Aarau Rohr (MIGROL-ST-4168137)</t>
  </si>
  <si>
    <t>BiCA-CiRRUS World</t>
  </si>
  <si>
    <t>BiCA Demo &amp; POC</t>
  </si>
  <si>
    <t>DEPOT Demo</t>
  </si>
  <si>
    <t>QS-PerformanceTest Sub Site (113/300)</t>
  </si>
  <si>
    <t>Migrol Tankstelle - Baselstrasse 30 - 4500 Solothurn - 103878</t>
  </si>
  <si>
    <t>Solothurn (MIGROL-ST-4166531)</t>
  </si>
  <si>
    <t>Coop Pronto - Dorfstrasse - 7220 Schiers - 103722</t>
  </si>
  <si>
    <t>Schiers (SAP 4849)</t>
  </si>
  <si>
    <t>Migrol Tankstelle - Gsteigstrasse 3 - 3812 Wilderswil - 101020</t>
  </si>
  <si>
    <t>Wilderswil, Gsteigstrasse 3, Automat (MIGROL-ST-4166674)</t>
  </si>
  <si>
    <t>Coop Pronto - Grenzstrasse 1b - 6214 Schenkon - 103977</t>
  </si>
  <si>
    <t>Schenkon (SAP 5561)</t>
  </si>
  <si>
    <t>QS-PerformanceTest Sub Site (112/300)</t>
  </si>
  <si>
    <t>Coop Pronto - Laufenstrasse 6 - 4222 Zwingen - 101545</t>
  </si>
  <si>
    <t>Zwingen (SAP 3999)</t>
  </si>
  <si>
    <t>Migrol Tankstelle - Wilerstrasse 7 - Bazenheid - 103407</t>
  </si>
  <si>
    <t>Bazenheid (MIGROL-ST-4166626)</t>
  </si>
  <si>
    <t>QS-PerformanceTest Sub Site (111/300)</t>
  </si>
  <si>
    <t>QS-PerformanceTest Sub Site (110/300)</t>
  </si>
  <si>
    <t>Coop Pronto - Letzipark Hohlstrasse 461 - 8048 Zürich - 104200</t>
  </si>
  <si>
    <t>Zürich Letzipark (SAP 5245)</t>
  </si>
  <si>
    <t>Station Migrol - Avenue du General Guisan 78 - 1800 Vevey - 103850</t>
  </si>
  <si>
    <t>Vevey (MIGROL-ST-4166519)</t>
  </si>
  <si>
    <t>Raststätte Rheintal Ost (101054)</t>
  </si>
  <si>
    <t>Coop Pronto - Am Wasser 146 - 8049 Zürich-Höngg - 101382</t>
  </si>
  <si>
    <t>Zürich-Höngg (SAP 3421)</t>
  </si>
  <si>
    <t>QS-PerformanceTest Sub Site (109/300)</t>
  </si>
  <si>
    <t>Migrol Tankstelle -  Schmalzgrubenstrasse 19 - 8842 Unteriberg - 103439</t>
  </si>
  <si>
    <t>Unteriberg, Schmalzgrubenstrasse 19 (MIGROL-ST-4166606)</t>
  </si>
  <si>
    <t>Garage du Golf SA - Route Industrielle 14 - 1860 Aigle - 102125</t>
  </si>
  <si>
    <t>Aigle (MIGROL-ST-4166656)</t>
  </si>
  <si>
    <t>Coop Pronto - Bernstrasse 201 - 3052 Zollikofen - 104139</t>
  </si>
  <si>
    <t>Zollikofen (SAP 4823)</t>
  </si>
  <si>
    <t>QS-PerformanceTest Sub Site (108/300)</t>
  </si>
  <si>
    <t>PiCCADiLLY Test</t>
  </si>
  <si>
    <t>Piccadilly SA (999) - Schulungsanlage - 6850 Mendrisio - 103798</t>
  </si>
  <si>
    <t>Mendrisio.Training.4797323</t>
  </si>
  <si>
    <t>Station Migrol - En Reutet B - Collombey le Grand - 102099</t>
  </si>
  <si>
    <t>Collombey (MIGROL-ST-4166662)</t>
  </si>
  <si>
    <t>Coop Pronto - Rappagugg 2 - 7205 Zizers - 103884</t>
  </si>
  <si>
    <t>Zizers (SAP 5566)</t>
  </si>
  <si>
    <t>0051-Würzburg</t>
  </si>
  <si>
    <t>QS-PerformanceTest Sub Site (107/300)</t>
  </si>
  <si>
    <t>Migrol Tankstelle - Bellerivestrasse 2 - 8008 Zürich - 103253</t>
  </si>
  <si>
    <t>Zürich, Bellerivestrasse 2a (MIGROL-ST-4166588)</t>
  </si>
  <si>
    <t>QS-PerformanceTest Sub Site (106/300)</t>
  </si>
  <si>
    <t>Coop Pronto - Route Ste-Croix - 1400 Yverdon-les-Bains - 101450</t>
  </si>
  <si>
    <t>Yverdon-les-Bains (SAP 3500)</t>
  </si>
  <si>
    <t>QS-PerformanceTest Sub Site (105/300)</t>
  </si>
  <si>
    <t>Coop Pronto - Avenue de Morges 185 - 1004 Lausanne - 101520</t>
  </si>
  <si>
    <t>Lausanne (SAP 3726)</t>
  </si>
  <si>
    <t>Migrol Tankstelle - Scheffelstrasse 16 - 8037 Zürich - 102093</t>
  </si>
  <si>
    <t>Zürich, Scheffelstrasse 16 (MIGROL-ST-4166657) - Retired</t>
  </si>
  <si>
    <t>PiCCADiLLY HOS</t>
  </si>
  <si>
    <t>Headoffice Piccadilly SA PROD</t>
  </si>
  <si>
    <t>Migrol Tankstelle - Albisstrasse 5 - 8915 Hausen am Albis - 103339</t>
  </si>
  <si>
    <t>Hausen am Albis (MIGROL-ST-4166611)</t>
  </si>
  <si>
    <t>QS-PerformanceTest Sub Site (104/300)</t>
  </si>
  <si>
    <t>Coop Pronto - Route de Bussy - 1530 Payerne - 101525</t>
  </si>
  <si>
    <t>Payerne (SAP 3738)</t>
  </si>
  <si>
    <t>Coop Pronto - Rugenparkstrasse 19 - 3800 Interlaken - 104222</t>
  </si>
  <si>
    <t>Interlaken Rugenpark (SAP 5160)</t>
  </si>
  <si>
    <t>QS-PerformanceTest Sub Site (103/300)</t>
  </si>
  <si>
    <t>Migrol Tankstelle - Aegeristrasse 2 - 6417 Sattel - 102127</t>
  </si>
  <si>
    <t>Sattel (MIGROL-ST-4166563)</t>
  </si>
  <si>
    <t>QS-PerformanceTest Sub Site (102/300)</t>
  </si>
  <si>
    <t>Coop Pronto - Luzernstrasse 24b - 4950 Huttwil - 101536</t>
  </si>
  <si>
    <t>Huttwil (SAP 3770)</t>
  </si>
  <si>
    <t>Migrol Tankstelle - Schmidtli - 6314 Neuaegeri - 103489</t>
  </si>
  <si>
    <t>Neuägeri (MIGROL-ST-4166601)</t>
  </si>
  <si>
    <t>Migrol Tankstelle - Vorderi Boede 1 - Oberrohrdorf - 103405</t>
  </si>
  <si>
    <t>Oberrohrdorf (MIGROL-ST-4166669)</t>
  </si>
  <si>
    <t>Coop Pronto - Gewerbestrasse - 5502 Hunzenschwil - 101563</t>
  </si>
  <si>
    <t>Hunzenschwil (SAP 4184)</t>
  </si>
  <si>
    <t>QS-PerformanceTest Sub Site (101/300)</t>
  </si>
  <si>
    <t>Migrol Tankstelle - Gansingerstrasse 23 - 5236 Remigen - 102119</t>
  </si>
  <si>
    <t>Remigen (MIGROL-ST-4166619)</t>
  </si>
  <si>
    <t>Coop Pronto - Hauptstrasse 45 - 5113 Holderbank AG - 101456</t>
  </si>
  <si>
    <t>Holderbank (SAP 3473)</t>
  </si>
  <si>
    <t>QS-PerformanceTest Sub Site (100/300)</t>
  </si>
  <si>
    <t>Coop Pronto - Alte Urswilstrasse 1 - 6280 Hochdorf - 101547</t>
  </si>
  <si>
    <t>Hochdorf (SAP 3949)</t>
  </si>
  <si>
    <t>QS-PerformanceTest Sub Site (99/300)</t>
  </si>
  <si>
    <t>Migrol Tankstelle - Wiedenmattenstrasse 2 - Fischbach-Goeslikon - 103408</t>
  </si>
  <si>
    <t>Fischbach - Göslikon (MIGROL-ST-4166655)</t>
  </si>
  <si>
    <t>QS-PerformanceTest Sub Site (98/300)</t>
  </si>
  <si>
    <t>Migrol Garage Otto Weber - Hauptstrasse 63 - 8264 Eschenz - 101046</t>
  </si>
  <si>
    <t>Eschenz (MIGROL-ST-4166546)</t>
  </si>
  <si>
    <t>Coop Pronto - Bernstrasse 40 - 3360 Herzogenbuchsee - 101597</t>
  </si>
  <si>
    <t>Herzogenbuchsee (SAP 4005)</t>
  </si>
  <si>
    <t>Heimberg Blümlisalpstr. 103872</t>
  </si>
  <si>
    <t>QS-PerformanceTest Sub Site (97/300)</t>
  </si>
  <si>
    <t>Coop Pronto - Alpsteinstrasse 26 - 9100 Herisau - 101554</t>
  </si>
  <si>
    <t>Herisau (SAP 3784)</t>
  </si>
  <si>
    <t>Migrol Tankstelle - Hoehenstrasse 2 - 9555 Tobel - 103404</t>
  </si>
  <si>
    <t>Tobel (MIGROL-ST-4166671)</t>
  </si>
  <si>
    <t>QS-PerformanceTest Sub Site (96/300)</t>
  </si>
  <si>
    <t>Migrol Tankstelle - Vogelsangstrasse 1 - 8307 Effretikon - 103387</t>
  </si>
  <si>
    <t>Effretikon (MIGROL-ST-4166661)</t>
  </si>
  <si>
    <t>QS-PerformanceTest Sub Site (95/300)</t>
  </si>
  <si>
    <t>Coop Pronto - Bernstrasse 196 - 3627 Heimberg - 101529</t>
  </si>
  <si>
    <t>Heimberg Bernstrasse (SAP 3736)</t>
  </si>
  <si>
    <t>Migrol Tankstelle - Weiacherstrasse 57 - Rorbas-Freienstein - 103424</t>
  </si>
  <si>
    <t>Rorbas (MIGROL-ST-4166560)</t>
  </si>
  <si>
    <t>Coop Pronto - Auerstrasse 30 - 9435 Heerbrugg - 101535</t>
  </si>
  <si>
    <t>Heerbrugg (SAP 3740)</t>
  </si>
  <si>
    <t>QS-PerformanceTest Sub Site (94/300)</t>
  </si>
  <si>
    <t>Migrol Service - Buechmes 1 - Bruetten - 102118</t>
  </si>
  <si>
    <t>Brütten (MIGROL-ST-4166633)</t>
  </si>
  <si>
    <t>Migrol - Auto Vetterli AG - Lochackerstrasse 7 - Embrach - 101149</t>
  </si>
  <si>
    <t>Embrach (MIGROL-ST-4166627)</t>
  </si>
  <si>
    <t>Coop Pronto - Schaffhauserstrasse 29 - 8152 Glattbrugg - 104186</t>
  </si>
  <si>
    <t>Glattbrugg (SAP 5161)</t>
  </si>
  <si>
    <t>QS-PerformanceTest Sub Site (93/300)</t>
  </si>
  <si>
    <t>Coop Pronto - Solothurnstrasse 109 - 2540 Grenchen - 101583</t>
  </si>
  <si>
    <t>Grenchen (SAP 4038)</t>
  </si>
  <si>
    <t>QS-PerformanceTest Sub Site (92/300)</t>
  </si>
  <si>
    <t>Migrol Tankstelle - Tösstalstrasse 31 - 8483 Kollbrunn - 102097</t>
  </si>
  <si>
    <t>Kollbrunn (MIGROL-ST-4166642)</t>
  </si>
  <si>
    <t>QS-PerformanceTest Sub Site (91/300)</t>
  </si>
  <si>
    <t>Coop Pronto - Worbstrasse 229 - 3073 Gümligen - 103888</t>
  </si>
  <si>
    <t>Gümligen (SAP 4869)</t>
  </si>
  <si>
    <t>Migrol Tankstelle - Via di Curtin - Poschiavo - 102141</t>
  </si>
  <si>
    <t>Poschiavo (MIGROL-ST-4166635)</t>
  </si>
  <si>
    <t>Migrol Tankstelle - Dorf 62 - 6162 Entlebuch - 102076</t>
  </si>
  <si>
    <t>Entlebuch (MIGROL-ST-4166545)</t>
  </si>
  <si>
    <t>Coop Pronto - Bernstrasse 35 - 3506 Grosshöchstetten - 101497</t>
  </si>
  <si>
    <t>CiRRUSFeatureFlag:UseEnginePos,Migrationhelper:DNSNTPLocalBreakout,SiteType:Fuel,SiteType:Shop</t>
  </si>
  <si>
    <t>Grosshöchstetten (SAP 3623)</t>
  </si>
  <si>
    <t>QS-PerformanceTest Sub Site (90/300)</t>
  </si>
  <si>
    <t>Stazione Migrol - Via Valmaggina - 6675 Cevio - 104162</t>
  </si>
  <si>
    <t>Cevio (MIGROL-ST-4166581)</t>
  </si>
  <si>
    <t>Coop Pronto - Mattenstrasse 1 - 5722 Gränichen - 101523</t>
  </si>
  <si>
    <t>GrÃ¤nichen (SAP 3733)</t>
  </si>
  <si>
    <t>QS-PerformanceTest Sub Site (89/300)</t>
  </si>
  <si>
    <t>QS-PerformanceTest Sub Site (88/300)</t>
  </si>
  <si>
    <t>Migrol Tankstelle - Luzernerstrasse 51 - 6247 Schötz - 102111</t>
  </si>
  <si>
    <t>Schötz (MIGROL-ST-4166622)</t>
  </si>
  <si>
    <t>Coop Tankstelle - Avenue de la Gare - 1523 Granges-près-Marnand - 101412</t>
  </si>
  <si>
    <t>SiteType:Fuel</t>
  </si>
  <si>
    <t>Granges-Près-Marnand (SAP 3602)</t>
  </si>
  <si>
    <t>Stazione Migrol - Via cantonale - 6594 Contone - 104157</t>
  </si>
  <si>
    <t>Contone (MIGROL-ST-4166582)</t>
  </si>
  <si>
    <t>QS-PerformanceTest Sub Site (87/300)</t>
  </si>
  <si>
    <t>Migrol Tankstelle - Kantonsstrasse 36 - 3952 Susten - 103391</t>
  </si>
  <si>
    <t>Susten, Kantonsstrasse (MIGROL-ST-4166634)</t>
  </si>
  <si>
    <t>QS-PerformanceTest Sub Site (86/300)</t>
  </si>
  <si>
    <t>Coop Pronto - St. Gallerstrasse 238 - 9200 Gossau SG - 101470</t>
  </si>
  <si>
    <t>Gossau St.Gallerstrasse (SAP 3531)</t>
  </si>
  <si>
    <t>Coop Pronto - Wilerstrasse 82 - 9201 Gossau SG - 101542</t>
  </si>
  <si>
    <t>Gossau Wilerstrasse (SAP 3954)</t>
  </si>
  <si>
    <t>Stazione Migrol - Via Brugaio 30 - 6713 Malvaglia - 104164</t>
  </si>
  <si>
    <t>Malvaglia (MIGROL-ST-4166584)</t>
  </si>
  <si>
    <t>QS-PerformanceTest Sub Site (85/300)</t>
  </si>
  <si>
    <t>Migrol Tankstelle - Bernstrasse 3 - 3629 Oppligen - 102101</t>
  </si>
  <si>
    <t>Oppligen (MIGROL-ST-4166628)</t>
  </si>
  <si>
    <t>QS-PerformanceTest Sub Site (84/300)</t>
  </si>
  <si>
    <t>Coop Pronto - Via Monte Ceneri 20 - 6512 Giubiasco - 104188</t>
  </si>
  <si>
    <t>Giubiasco (SAP 5177)</t>
  </si>
  <si>
    <t>Migrol Tankstelle - Kantonsstrasse 152 - 7205 Zizers - 103400</t>
  </si>
  <si>
    <t>Zizers, Kantonsstrasse 152 (MIGROL-ST-4166603)</t>
  </si>
  <si>
    <t>Coop Pronto - Limmattalstrasse 25 - 8954 Geroldswil - 104193</t>
  </si>
  <si>
    <t>Geroldswil (SAP 5162)</t>
  </si>
  <si>
    <t>QS-PerformanceTest Sub Site (83/300)</t>
  </si>
  <si>
    <t>Migrol Tankstelle - Dorfstrasse 20 - 9104 Waldstatt - 102108</t>
  </si>
  <si>
    <t>Waldstatt (MIGROL-ST-4166675)</t>
  </si>
  <si>
    <t>Coop Pronto - Rue de Lyon 100 - 1203 Genève - 101431</t>
  </si>
  <si>
    <t>Genève Rue de Lyon (SAP 3496)</t>
  </si>
  <si>
    <t>QS-PerformanceTest Sub Site (82/300)</t>
  </si>
  <si>
    <t>Migrol Service - Hauptstrasse 63 - Obergerlafingen - 103443</t>
  </si>
  <si>
    <t>Obergerlafingen (MIGROL-ST-4166555)</t>
  </si>
  <si>
    <t>QS-PerformanceTest Sub Site (81/300)</t>
  </si>
  <si>
    <t>Coop Pronto - Rue Cardinal Mermillod 11 - 1227 Carouge GE - 101378</t>
  </si>
  <si>
    <t>Carouge GE (SAP 3480)</t>
  </si>
  <si>
    <t>QS-PerformanceTest Sub Site (80/300)</t>
  </si>
  <si>
    <t>Migrol Tankstelle - Thalstrasse 367 - Laupersdorf - 103700</t>
  </si>
  <si>
    <t>Laupersdorf (MIGROL-ST-4166682)</t>
  </si>
  <si>
    <t>Coop Pronto - Sissacherstrasse 24 - 4460 Gelterkinden - 101363</t>
  </si>
  <si>
    <t>Gelterkinden (SAP 3422)</t>
  </si>
  <si>
    <t>Coop Pronto - Landstrasse 62 - 5412 Gebenstorf - 101538</t>
  </si>
  <si>
    <t>Gebenstorf (SAP 3621)</t>
  </si>
  <si>
    <t>Migrol Tankstelle - Feldkirchstrasse 52 - 9494 Schaan - 103484</t>
  </si>
  <si>
    <t>Schaan/FL (MIGROL-ST-4166564)</t>
  </si>
  <si>
    <t>QS-PerformanceTest Sub Site (79/300)</t>
  </si>
  <si>
    <t>QS-PerformanceTest Sub Site (78/300)</t>
  </si>
  <si>
    <t>Migrol Tankstelle - Hauptstrasse 29 - 5043 Holziken - 102103</t>
  </si>
  <si>
    <t>Holziken (MIGROL-ST-4166608)</t>
  </si>
  <si>
    <t>Coop Pronto - Bernstrasse 11 - 3238 Gals - 101573</t>
  </si>
  <si>
    <t>Gals (SAP 3957)</t>
  </si>
  <si>
    <t>QS-PerformanceTest Sub Site (77/300)</t>
  </si>
  <si>
    <t>Migrol Tankstelle - Staatsstrasse 178 - Oberriet SG - 103546</t>
  </si>
  <si>
    <t>Oberriet (MIGROL-ST-4166632)</t>
  </si>
  <si>
    <t>Coop Pronto - Talstrasse 28 E - 7270 Davos Platz - 101578</t>
  </si>
  <si>
    <t>Davos-Platz (SAP 4097)</t>
  </si>
  <si>
    <t>Migrol Service - Route de Neuchatel 2 - Cernier - 102100</t>
  </si>
  <si>
    <t>Cernier (MIGROL-ST-4166667)</t>
  </si>
  <si>
    <t>QS-PerformanceTest Sub Site (76/300)</t>
  </si>
  <si>
    <t>Coop Pronto - Rue du Stand 56 - 2800 Delémont - 101388</t>
  </si>
  <si>
    <t>Delémont Rue du Stand (SAP 3484)</t>
  </si>
  <si>
    <t>Migrol Tankstelle - Langacker 792 - 9230 Flawil - 102068</t>
  </si>
  <si>
    <t>Flawil (MIGROL-ST-4166664)</t>
  </si>
  <si>
    <t>QS-PerformanceTest Sub Site (75/300)</t>
  </si>
  <si>
    <t>Coop Pronto - Luzernstrasse/Fabrikstrasse - 4552 Derendingen - 101594</t>
  </si>
  <si>
    <t>Derendingen (SAP 4556)</t>
  </si>
  <si>
    <t>Coop Pronto - Niederhaslistrasse 9 - 8157 Dielsdorf - 101383</t>
  </si>
  <si>
    <t>Dielsdorf (SAP 3443)</t>
  </si>
  <si>
    <t>Station Migrol - Route de Reconvilier - Tavannes - 102085</t>
  </si>
  <si>
    <t>Tavannes (MIGROL-ST-4166568)</t>
  </si>
  <si>
    <t>QS-PerformanceTest Sub Site (74/300)</t>
  </si>
  <si>
    <t>Stazione Migrol - Nucleo - 6659 Camedo - 104161</t>
  </si>
  <si>
    <t>Camedo (MIGROL-ST-4166580) - Retired</t>
  </si>
  <si>
    <t>QS-PerformanceTest Sub Site (73/300)</t>
  </si>
  <si>
    <t>Coop Pronto - Tramstrasse 22 - 9444 Diepoldsau - 101337</t>
  </si>
  <si>
    <t>Diepoldsau (SAP 3414)</t>
  </si>
  <si>
    <t>Coop Pronto - Route de Reculan - 1024 Ecublens VD - 101430</t>
  </si>
  <si>
    <t>Ecublens (SAP 3497)</t>
  </si>
  <si>
    <t>QS-PerformanceTest Sub Site (72/300)</t>
  </si>
  <si>
    <t>Stazione Migrol - Stradon - 6557 Cama - 104163</t>
  </si>
  <si>
    <t>Cama (MIGROL-ST-4166579)</t>
  </si>
  <si>
    <t>Coop Pronto - Alte Landstrasse 49 - 4657 Dulliken - 101540</t>
  </si>
  <si>
    <t>Dulliken (SAP 3758)</t>
  </si>
  <si>
    <t>Migrol Tankstelle - Hauptstrasse 103 - 3852 Ringgenberg BE - 103396</t>
  </si>
  <si>
    <t>Ringgenberg (MIGROL-ST-4166559)</t>
  </si>
  <si>
    <t>QS-PerformanceTest Sub Site (71/300)</t>
  </si>
  <si>
    <t>Migrol Tankstelle - Hauptstrasse 25 - 3713 Reichenbach im Kandertal - 102065</t>
  </si>
  <si>
    <t>Reichenbach (MIGROL-ST-4166558)</t>
  </si>
  <si>
    <t>Coop Pronto - Gartenweg 6 - 5606 Dintikon - 101257</t>
  </si>
  <si>
    <t>Dintikon (SAP 3451)</t>
  </si>
  <si>
    <t>QS-PerformanceTest Sub Site (70/300)</t>
  </si>
  <si>
    <t>Coop Pronto - Erlenweg 1 - 8305 Dietlikon - 103883</t>
  </si>
  <si>
    <t>Dietlikon (SAP 4965)</t>
  </si>
  <si>
    <t>Migrol Service - Hautstrasse 12 - Lostorf - 102132</t>
  </si>
  <si>
    <t>Lostorf (MIGROL-ST-4166679)</t>
  </si>
  <si>
    <t>QS-PerformanceTest Sub Site (69/300)</t>
  </si>
  <si>
    <t>Coop Pronto - Silbernstrasse 8a - 8953 Dietikon - 104246</t>
  </si>
  <si>
    <t>Dietikon (SAP 5478)</t>
  </si>
  <si>
    <t>QS-PerformanceTest Sub Site (68/300)</t>
  </si>
  <si>
    <t>Migrol Service - Hauptstrasse 15 - Hölstein - 103438</t>
  </si>
  <si>
    <t>Hölstein (MIGROL-ST-4166551)</t>
  </si>
  <si>
    <t>QS-PerformanceTest Sub Site (67/300)</t>
  </si>
  <si>
    <t>Coop Pronto - Zürichstrasse 75 - 8840 Einsiedeln - 104173</t>
  </si>
  <si>
    <t>Einsiedeln (SAP 5106)</t>
  </si>
  <si>
    <t>Migrol Tankstelle - Baselstrasse 67 - 4203 Grellingen - 102102</t>
  </si>
  <si>
    <t>Grellingen (MIGROL-ST-4166549)</t>
  </si>
  <si>
    <t>Coop Pronto - Industriestrasse 2 - 8424 Embrach - 101511</t>
  </si>
  <si>
    <t>Embrach (SAP 3731)</t>
  </si>
  <si>
    <t>QS-PerformanceTest Sub Site (66/300)</t>
  </si>
  <si>
    <t>Migrol Tankstelle - Unterdorfstrasse 5 - Roeschenz - 103476</t>
  </si>
  <si>
    <t>Röschenz (MIGROL-ST-4166561)</t>
  </si>
  <si>
    <t>Migrol Station - Brühlmattweg 1 - 4107 Ettingen - 103414</t>
  </si>
  <si>
    <t>Ettingen (MIGROL-ST-4166681)</t>
  </si>
  <si>
    <t>Coop Pronto - Essanestrasse 15 - 9492 Eschen - 101328</t>
  </si>
  <si>
    <t>Eschen (SAP 3447)</t>
  </si>
  <si>
    <t>QS-PerformanceTest Sub Site (65/300)</t>
  </si>
  <si>
    <t>Coop Pronto - Nagereija 15 - 3984 Fiesch - 101477</t>
  </si>
  <si>
    <t>Fiesch (SAP 3562)</t>
  </si>
  <si>
    <t>Migrol Tankstelle - Dorfstrasse 700 - 5728 Gontenschwil - 103382</t>
  </si>
  <si>
    <t>Gontenschwil (MIGROL-ST-4166548)</t>
  </si>
  <si>
    <t>QS-PerformanceTest Sub Site (64/300)</t>
  </si>
  <si>
    <t>QS-PerformanceTest Sub Site (63/300)</t>
  </si>
  <si>
    <t>Station Migrol - La Claie-aux-Moines 24 - 1073 Savigny - 103419</t>
  </si>
  <si>
    <t>Savigny (MIGROL-ST-4166646)</t>
  </si>
  <si>
    <t>Coop Pronto - Zürcherstrasse 32 - 8500 Frauenfeld - 101361</t>
  </si>
  <si>
    <t>Frauenfeld-West (SAP 3446)</t>
  </si>
  <si>
    <t>QS-PerformanceTest Sub Site (62/300)</t>
  </si>
  <si>
    <t>Migrol Tankstelle - Schaffhauserstrasse 227 - 8222 Beringen - 103423</t>
  </si>
  <si>
    <t>Beringen (MIGROL-ST-4166629)</t>
  </si>
  <si>
    <t>Coop Pronto - Wilerstrasse 228 - 9230 Flawil - 101599</t>
  </si>
  <si>
    <t>Flawil (SAP 4633)</t>
  </si>
  <si>
    <t>QS-PerformanceTest Sub Site (61/300)</t>
  </si>
  <si>
    <t>Migrol Tankstelle - Daegerlohn 2 - 6473 Silenen - 103490</t>
  </si>
  <si>
    <t>Silenen (MIGROL-ST-4166566)</t>
  </si>
  <si>
    <t>LAVEBA-Test</t>
  </si>
  <si>
    <t>LAVEBA Test - Neumarkt 5 - St. Gallen - CiRRUS "Teufen" - 106101</t>
  </si>
  <si>
    <t>Teufen - Test</t>
  </si>
  <si>
    <t>Coop Pronto - Hauptstrasse 15 - 5070 Frick - 101468</t>
  </si>
  <si>
    <t>Frick (SAP 3563)</t>
  </si>
  <si>
    <t>Coop Pronto - Rheinstrasse 113 D - 4402 Frenkendorf - 104213</t>
  </si>
  <si>
    <t>Frenkendorf (SAP 5346)</t>
  </si>
  <si>
    <t>QS-PerformanceTest Sub Site (60/300)</t>
  </si>
  <si>
    <t>Migrol Service - Frutigenstrasse 49 - Thun - 102110</t>
  </si>
  <si>
    <t>Thun, Frutigenstrasse 49 (MIGROL-ST-4166578)</t>
  </si>
  <si>
    <t>Gioia Combustibili SA - Stazione Purasca</t>
  </si>
  <si>
    <t>QS-PerformanceTest Sub Site (59/300)</t>
  </si>
  <si>
    <t>Migrol Tankstelle - Lochmatte 358 K - 3763 Därstetten - 103385</t>
  </si>
  <si>
    <t>Därstetten (MIGROL-ST-4166542)</t>
  </si>
  <si>
    <t>Gioia Combustibili SA - Headoffice</t>
  </si>
  <si>
    <t>Fribourg St. Nicolas 101389</t>
  </si>
  <si>
    <t>QS-PerformanceTest Sub Site (58/300)</t>
  </si>
  <si>
    <t>Coop Pronto - Route de Tavel 8 - 1707 Fribourg 7 - Schönberg - 101502</t>
  </si>
  <si>
    <t>Fribourg-Schönberg (SAP 3750)</t>
  </si>
  <si>
    <t>Migrol Tankstelle - Seetalstrasse 5 - 5706 Boniswil - 103352</t>
  </si>
  <si>
    <t>Boniswil, Seetalstrasse (MIGROL-ST-4166543)</t>
  </si>
  <si>
    <t>Migrol Tankstelle - Talstrasse 22 - Davos Platz - 103862</t>
  </si>
  <si>
    <t>Davos (MIGROL-ST-4166524)</t>
  </si>
  <si>
    <t>Coop Pronto - Chemin de la Maraîche 35 - 1926 Fully - 104169</t>
  </si>
  <si>
    <t>Fully (SAP 5176)</t>
  </si>
  <si>
    <t>QS-PerformanceTest Sub Site (57/300)</t>
  </si>
  <si>
    <t>Laveba Test - Headoffice</t>
  </si>
  <si>
    <t>Laveba - Headoffice</t>
  </si>
  <si>
    <t>Coop Pronto - Klarastrasse 12 - 9320 Arbon - 101377</t>
  </si>
  <si>
    <t>Arbon Klarastrasse (SAP 3412)</t>
  </si>
  <si>
    <t>QS-PerformanceTest Sub Site (56/300)</t>
  </si>
  <si>
    <t>Migrol Tankstelle - Wasgenring 57 - Basel - 102128</t>
  </si>
  <si>
    <t>Basel, Wasgenring 57 (MIGROL-ST-4166575)</t>
  </si>
  <si>
    <t>QS-PerformanceTest Sub Site (55/300)</t>
  </si>
  <si>
    <t>Coop Pronto - Landquartstrasse 84 - 9320 Arbon - 103877</t>
  </si>
  <si>
    <t>Arbon Landquartstrasse (SAP 4892)</t>
  </si>
  <si>
    <t>Migrol Tankstelle - Margarethenstrasse 59 - 4053 Basel - 102069</t>
  </si>
  <si>
    <t>Basel, Margarethenstrasse 59 (MIGROL-ST-4166536)</t>
  </si>
  <si>
    <t>QS-PerformanceTest Sub Site (54/300)</t>
  </si>
  <si>
    <t>Migrol Tankstelle - Lindenmattstrasse 15 - 5616 Meisterschwanden - 103399</t>
  </si>
  <si>
    <t>Meisterschwanden (MIGROL-ST-4166610)</t>
  </si>
  <si>
    <t>Coop Pronto - B. Renevey Avenches GmbH Au Milavy - 1580 Avenches - 101474</t>
  </si>
  <si>
    <t>Avenches (SAP 3551)</t>
  </si>
  <si>
    <t>QS-PerformanceTest Sub Site (53/300)</t>
  </si>
  <si>
    <t>0028-Bad Kissingen Schönbornstr.</t>
  </si>
  <si>
    <t>0028-Bad Kissingen-Schönbornstr.</t>
  </si>
  <si>
    <t>Coop Pronto - Zürichstrasse 114 - 8134 Adliswil - 103797</t>
  </si>
  <si>
    <t>Adliswil (SAP 4638)</t>
  </si>
  <si>
    <t>Migrol Tankstelle - Thunstrasse 37 - 3510 Konolfingen - 102077</t>
  </si>
  <si>
    <t>Konolfingen (MIGROL-ST-4166576)</t>
  </si>
  <si>
    <t>QS-PerformanceTest Sub Site (52/300)</t>
  </si>
  <si>
    <t>Migrol Tankstelle - Bruenigstrasse 52 - 6072 Sachseln - 102126</t>
  </si>
  <si>
    <t>Sachseln (MIGROL-ST-4166562)</t>
  </si>
  <si>
    <t>0048-Neuhof</t>
  </si>
  <si>
    <t>SiteType:Fuel,SiteType:OPT,SiteType:Shop,SPECIAL-PERMISSION-ErikWalther</t>
  </si>
  <si>
    <t>Coop Pronto - Bernstrasse 50 - 3422 Alchenflüh - 101526</t>
  </si>
  <si>
    <t>Alchenflüh (SAP 3785)</t>
  </si>
  <si>
    <t>Migrol Tankstelle - Bernstrasse 2 - 3315 Bätterkinden - 103348</t>
  </si>
  <si>
    <t>Bätterkinden (MIGROL-ST-4166538)</t>
  </si>
  <si>
    <t>0009-Bad Kissingen-Erhardstr.</t>
  </si>
  <si>
    <t>Coop Pronto - Bischofszellerstrasse 303 - 9212 Arnegg - 104204</t>
  </si>
  <si>
    <t>Arnegg (SAP 5323)</t>
  </si>
  <si>
    <t>QS-PerformanceTest Sub Site (51/300)</t>
  </si>
  <si>
    <t>QS-PerformanceTest Sub Site (50/300)</t>
  </si>
  <si>
    <t>Coop Pronto - Weinfelderstrasse 115 - 8580 Amriswil - 101372</t>
  </si>
  <si>
    <t>Amriswil (SAP 3430)</t>
  </si>
  <si>
    <t>0064-Sondershausen</t>
  </si>
  <si>
    <t>Migrol Tankstelle - Fabrikstrasse 6 - 4513 Langendorf - 103411</t>
  </si>
  <si>
    <t>Langendorf (MIGROL-ST-4166644)</t>
  </si>
  <si>
    <t>Coop Pronto - Zürcherstrasse 72 - 8852 Altendorf - 104171</t>
  </si>
  <si>
    <t>Altendorf (SAP 5164)</t>
  </si>
  <si>
    <t>Migrol Tankstelle - Luzernerstrasse 2 - 6215 Beromünster - 102064</t>
  </si>
  <si>
    <t>Beromünster (MIGROL-ST-4166574)</t>
  </si>
  <si>
    <t>0067-Chemnitz</t>
  </si>
  <si>
    <t>QS-PerformanceTest Sub Site (49/300)</t>
  </si>
  <si>
    <t>0069-Stadtlengsfeld</t>
  </si>
  <si>
    <t>Migrol Tankstelle - Arsenalstrasse 35/37 - 6010 Kriens - 101293</t>
  </si>
  <si>
    <t>Kriens, Arsenalstrasse 35/37 (MIGROL-ST-4166553)</t>
  </si>
  <si>
    <t>QS-PerformanceTest Sub Site (48/300)</t>
  </si>
  <si>
    <t>Coop Pronto - Hegenheimermattweg 119 - 4123 Allschwil - 101521</t>
  </si>
  <si>
    <t>Allschwil (SAP 3725)</t>
  </si>
  <si>
    <t>QS-PerformanceTest Sub Site (47/300)</t>
  </si>
  <si>
    <t>Migrol Tankstelle - Solothurnstrasse 23 - 2543 Lengnau BE - 103515</t>
  </si>
  <si>
    <t>Lengnau b.B. (MIGROL-ST-4166652)</t>
  </si>
  <si>
    <t>0005-Burgebrach</t>
  </si>
  <si>
    <t>Coop Pronto - Leimerweg 53 - 3270 Aarberg - 101345</t>
  </si>
  <si>
    <t>Aarberg (SAP 3442)</t>
  </si>
  <si>
    <t>QS-PerformanceTest Sub Site (46/300)</t>
  </si>
  <si>
    <t>Migrol Tankstelle - Bielstrasse 1 - 2544 Bettlach - 103362</t>
  </si>
  <si>
    <t>Bettlach (MIGROL-ST-4166539)</t>
  </si>
  <si>
    <t>0072-Geiselwind</t>
  </si>
  <si>
    <t>Coop Pronto - Morgentalstrasse 22 - 8355 Aadorf - 101484</t>
  </si>
  <si>
    <t>Aadorf (SAP 3582)</t>
  </si>
  <si>
    <t>Coop Pronto - Rue de la Gare - 1165 Allaman - 101421</t>
  </si>
  <si>
    <t>Allaman (SAP 3495)</t>
  </si>
  <si>
    <t>QS-PerformanceTest Sub Site (45/300)</t>
  </si>
  <si>
    <t>BiCA-POC01</t>
  </si>
  <si>
    <t>Site 2 POC01 - JET Frankfurt</t>
  </si>
  <si>
    <t>Migrol Tankstelle - Othmarsingerstrasse 3 - 5600 Lenzburg - 103576</t>
  </si>
  <si>
    <t>Lenzburg (MIGROL-ST-4166617)</t>
  </si>
  <si>
    <t>QS-PerformanceTest Sub Site (44/300)</t>
  </si>
  <si>
    <t>Site 1 POC01 - JET Hamburg</t>
  </si>
  <si>
    <t>Migrol Tankstelle - Zürcherstrasse 35 - Basel - 103455</t>
  </si>
  <si>
    <t>Basel Zürcherstr. (MIGROL-ST-4166643)</t>
  </si>
  <si>
    <t>Coop Pronto - Oltenerstrasse 127 - 4663 Aarburg - 101338</t>
  </si>
  <si>
    <t>Aarburg (SAP 3460)</t>
  </si>
  <si>
    <t>Coop Pronto - Egnacherstrasse 1 - 9320 Arbon - 103709</t>
  </si>
  <si>
    <t>Arbon Egnacherstrasse (SAP 4864)</t>
  </si>
  <si>
    <t>QS-PerformanceTest Sub Site (43/300)</t>
  </si>
  <si>
    <t>Migrol Tankstelle - Schwarzwaldstrasse 73 - 8226 Schleitheim - 101049</t>
  </si>
  <si>
    <t>Schleitheim (MIGROL-ST-4166621)</t>
  </si>
  <si>
    <t>0038-Eußenheim-Hundsbach</t>
  </si>
  <si>
    <t>Migrol Service - Waldibrücke - Emmen - 103440</t>
  </si>
  <si>
    <t>Emmen-Waldibrücke (MIGROL-ST-4166612)</t>
  </si>
  <si>
    <t>Coop Pronto - Im Wängli 6 - 8910 Affoltern am Albis - 101453</t>
  </si>
  <si>
    <t>Affoltern am Albis (SAP 3476)</t>
  </si>
  <si>
    <t>Headoffice POC01</t>
  </si>
  <si>
    <t>German,English</t>
  </si>
  <si>
    <t>QS-PerformanceTest Sub Site (42/300)</t>
  </si>
  <si>
    <t>QS-PerformanceTest Sub Site (41/300)</t>
  </si>
  <si>
    <t>0034-Münchberg</t>
  </si>
  <si>
    <t>Migrol Tankstelle - Avenue de Provence 2 - 1000 Lausanne - 103882</t>
  </si>
  <si>
    <t>Lausanne, Av. de Provence 2 (MIGROL-ST-4166520)</t>
  </si>
  <si>
    <t>Coop Pronto - Langenthalstrasse 90 - 4912 Aarwangen - 101588</t>
  </si>
  <si>
    <t>Aarwangen (SAP 4522)</t>
  </si>
  <si>
    <t>Coop Pronto - Birseckstrasse 95 - 4144 Arlesheim - 101327</t>
  </si>
  <si>
    <t>Arlesheim (SAP 3461)</t>
  </si>
  <si>
    <t>QS-PerformanceTest Sub Site (40/300)</t>
  </si>
  <si>
    <t>Migrol Service - Neuhardstrasse - Olten - 103349</t>
  </si>
  <si>
    <t>Olten Neuhard (MIGROL-ST-4166594)</t>
  </si>
  <si>
    <t>0033-Hof-Hans Böckler Str.</t>
  </si>
  <si>
    <t>0066-Sonneberg</t>
  </si>
  <si>
    <t>Migrol Tankstelle - Stettenenstrasse 39 - Eiken - 101292</t>
  </si>
  <si>
    <t>Eiken (MIGROL-ST-4166544)</t>
  </si>
  <si>
    <t>QS-PerformanceTest Sub Site (39/300)</t>
  </si>
  <si>
    <t>Coop Pronto - Delfterstrasse - 5004 Aarau - 101340</t>
  </si>
  <si>
    <t>Aarau (SAP 3441)</t>
  </si>
  <si>
    <t>QS-PerformanceTest Sub Site (38/300)</t>
  </si>
  <si>
    <t>Migrol Tankstelle - Haegendorfstrasse 2 - 4616 Kappel - 102066</t>
  </si>
  <si>
    <t>Kappel (MIGROL-ST-4166552)</t>
  </si>
  <si>
    <t>Coop Pronto - Allmendstrasse 38 - 3600 Thun - 104250</t>
  </si>
  <si>
    <t>Thun Allmendstrasse (SAP 5319)</t>
  </si>
  <si>
    <t>QS-PerformanceTest Sub Site (37/300)</t>
  </si>
  <si>
    <t>0068-Hanau</t>
  </si>
  <si>
    <t>Coop Pronto - Brüglingerstrasse 83 - 4052 Basel - 101405</t>
  </si>
  <si>
    <t>Basel Brüglingerstrasse (SAP 3466)</t>
  </si>
  <si>
    <t>Migrol Tankstelle - Oltnerstrasse 46 - 4622 Egerkingen - 104243</t>
  </si>
  <si>
    <t>Egerkingen, Oltnerstrasse (MIGROL-ST-4166591)</t>
  </si>
  <si>
    <t>Coop Pronto - Gurzelenstrasse 2 - 4512 Bellach - 101437</t>
  </si>
  <si>
    <t>Bellach (SAP 3474)</t>
  </si>
  <si>
    <t>QS-PerformanceTest Sub Site (36/300)</t>
  </si>
  <si>
    <t>Stazione Migrol - Via San Gottardo - Airolo - 103401</t>
  </si>
  <si>
    <t>Airolo (MIGROL-ST-4166613)</t>
  </si>
  <si>
    <t>0059-Stephanskirchen</t>
  </si>
  <si>
    <t>QS-PerformanceTest Sub Site (35/300)</t>
  </si>
  <si>
    <t>Migrol Tankstelle - St. Gallerstrasse 101 - Jona - 103774</t>
  </si>
  <si>
    <t>Jona (MIGROL-ST-4166507)</t>
  </si>
  <si>
    <t>Coop Pronto - Via San Gottardo 73 - 6500 Bellinzona - 101387</t>
  </si>
  <si>
    <t>Bellinzona (SAP 3504)</t>
  </si>
  <si>
    <t>Station Migrol - Rue des Echelles - 1902 Evionnaz/La Balmaz - 102079</t>
  </si>
  <si>
    <t>Evionnaz, La Balmaz (MIGROL-ST-4166651)</t>
  </si>
  <si>
    <t>0061-Grebenstein</t>
  </si>
  <si>
    <t>Coop Pronto - Baslerstrasse 5 - 4102 Binningen - 101423</t>
  </si>
  <si>
    <t>Binningen (SAP 3471)</t>
  </si>
  <si>
    <t>QS-PerformanceTest Sub Site (34/300)</t>
  </si>
  <si>
    <t>0060-Schweinfurt-Oskar-von-Miller-Str.</t>
  </si>
  <si>
    <t>Migrol Tankstelle - Luzernerstrasse 64 - 5630 Muri - 104395</t>
  </si>
  <si>
    <t>Muri (MIGROL-ST-4167453)</t>
  </si>
  <si>
    <t>Coop Pronto - Kantonsstrasse 99 - 3952 Susten - 104257</t>
  </si>
  <si>
    <t>Susten (SAP 5538)</t>
  </si>
  <si>
    <t>QS-PerformanceTest Sub Site (33/300)</t>
  </si>
  <si>
    <t>Migrol Tankstelle - Voia Principale 79 - Lantsch-Lenz - 102117</t>
  </si>
  <si>
    <t>Lantsch/Lenz (MIGROL-ST-4166624)</t>
  </si>
  <si>
    <t>0063-Forchheim</t>
  </si>
  <si>
    <t>Coop Pronto - Fürstenlandstrasse 17 - 9000 St. Gallen - 101543</t>
  </si>
  <si>
    <t>St.Gallen Fürstenlandstrasse (SAP 3802)</t>
  </si>
  <si>
    <t>QS-PerformanceTest Sub Site (32/300)</t>
  </si>
  <si>
    <t>Coop Pronto - Hindervormüli - 6170 Schüpfheim - 101586</t>
  </si>
  <si>
    <t>Schüpfheim (SAP 4554)</t>
  </si>
  <si>
    <t>QS-PerformanceTest Sub Site (31/300)</t>
  </si>
  <si>
    <t>Migrol Service - Lindenallee 98 - 3800 Interlaken - 104132</t>
  </si>
  <si>
    <t>Interlaken Lindenallee (MIGROL-ST-4167311)</t>
  </si>
  <si>
    <t>0070-Burgoberbach</t>
  </si>
  <si>
    <t>Migrol Tankstelle - Seestrasse 109 - 3800 Unterseen - 103397</t>
  </si>
  <si>
    <t>Unterseen (MIGROL-ST-4166569)</t>
  </si>
  <si>
    <t>QS-PerformanceTest Sub Site (30/300)</t>
  </si>
  <si>
    <t>Coop Pronto - Kantonsstrasse 300 - 3902 Brig-Gamsen - 101350</t>
  </si>
  <si>
    <t>Brig-Gamsen (SAP 3415)</t>
  </si>
  <si>
    <t>QS-PerformanceTest Sub Site (29/300)</t>
  </si>
  <si>
    <t>Coop Pronto - Gotthardstrasse 2a - 6467 Schattdorf - 101326</t>
  </si>
  <si>
    <t>Schattdorf (SAP 3454)</t>
  </si>
  <si>
    <t>Rothenburg Testanlage - Prüffeld - 103388</t>
  </si>
  <si>
    <t>Migrol Service - Richigenstrasse 59 - Worb - 103431</t>
  </si>
  <si>
    <t>Worb (MIGROL-ST-4166614)</t>
  </si>
  <si>
    <t>Stazione Migrol - Strada cantonale - Acquarossa - 103402</t>
  </si>
  <si>
    <t>Acquarossa (MIGROL-ST-4166604)</t>
  </si>
  <si>
    <t>Coop Pronto - Zürichstrasse 70 - 8306 Brüttisellen - 101344</t>
  </si>
  <si>
    <t>Brüttisellen (SAP 3455)</t>
  </si>
  <si>
    <t>QS-PerformanceTest Sub Site (28/300)</t>
  </si>
  <si>
    <t>Migrol Tankstelle - Via San Carlo 6 - Breganzona - 103829</t>
  </si>
  <si>
    <t>Breganzona (MIGROL-ST-4166511)</t>
  </si>
  <si>
    <t>CiRRUS World DE</t>
  </si>
  <si>
    <t>UNITIexpo Filiale #1</t>
  </si>
  <si>
    <t>QS-PerformanceTest Sub Site (27/300)</t>
  </si>
  <si>
    <t>Coop Pronto - St. Gallerstrasse 28 - 9471 Buchs SG 1 - 101335</t>
  </si>
  <si>
    <t>Buchs (SAP 3434)</t>
  </si>
  <si>
    <t>Coop Pronto - Pra Riond 1 - 1635 La Tour de Trême - 101366</t>
  </si>
  <si>
    <t>Bulle Pra Riond (SAP 3492)</t>
  </si>
  <si>
    <t>Migrol Service - Bielstrasse 12 - Pieterlen - 103442</t>
  </si>
  <si>
    <t>Pieterlen (MIGROL-ST-4166557)</t>
  </si>
  <si>
    <t>QS-PerformanceTest Sub Site (26/300)</t>
  </si>
  <si>
    <t>0046-Bayreuth-Grüner.Baum</t>
  </si>
  <si>
    <t>QS-PerformanceTest Sub Site (25/300)</t>
  </si>
  <si>
    <t>Migrol Tankstelle - Kirchweg 88-90 - 8750 Glarus - 102070</t>
  </si>
  <si>
    <t>Glarus (MIGROL-ST-4166547)</t>
  </si>
  <si>
    <t>Coop Pronto - Brüggstrasse 71 - 2503 Biel/Bienne - 101587</t>
  </si>
  <si>
    <t>Biel Brüggstrasse (SAP 4041)</t>
  </si>
  <si>
    <t>QS-PerformanceTest Sub Site (24/300)</t>
  </si>
  <si>
    <t>Migrol Service - Dorfstrasse - 6133 Hergiswil LU - 101283</t>
  </si>
  <si>
    <t>Hergiswil (MIGROL-ST-4166550)</t>
  </si>
  <si>
    <t>0032-Schweinfurt-Kettelerstr.</t>
  </si>
  <si>
    <t>Coop Pronto - Längfeldweg 43a - 2504 Biel/Bienne - 101469</t>
  </si>
  <si>
    <t>Biel Längfeldweg (SAP 3549)</t>
  </si>
  <si>
    <t>Migrol Tankstelle - Aspstrasse 4 - 8472 Seuzach-Ohringen - 102084</t>
  </si>
  <si>
    <t>Seuzach (MIGROL-ST-4166556)</t>
  </si>
  <si>
    <t>Coop Pronto - Grabenstrasse 6 - 8184 Bachenbülach - 101467</t>
  </si>
  <si>
    <t>Bachenbülach (SAP 3528)</t>
  </si>
  <si>
    <t>0054-Wasserlosen Greßthal</t>
  </si>
  <si>
    <t>QS-PerformanceTest Sub Site (23/300)</t>
  </si>
  <si>
    <t>0047-Arzberg</t>
  </si>
  <si>
    <t>Migrol Tankstelle - Luzernstrasse 97 - 6102 Malters - 102067</t>
  </si>
  <si>
    <t>Malters (MIGROL-ST-4166554)</t>
  </si>
  <si>
    <t>QS-PerformanceTest Sub Site (22/300)</t>
  </si>
  <si>
    <t>Coop Pronto - Badenerstrasse 2 - 5620 Bremgarten AG - 101579</t>
  </si>
  <si>
    <t>Bremgarten (SAP 4009)</t>
  </si>
  <si>
    <t>QS-PerformanceTest Sub Site (21/300)</t>
  </si>
  <si>
    <t>Migrol Tankstelle - Sihlquai 155 - 8005 Zuerich - 103505</t>
  </si>
  <si>
    <t>Zürich, Sihlquai (MIGROL-ST-4167194)</t>
  </si>
  <si>
    <t>0041-Schweinfurt-Willi Kaidel Straße</t>
  </si>
  <si>
    <t>CiRRUSFeatureFlag:UseEnginePos,SiteType:Fuel,SiteType:OPT,SiteType:Shop,SPECIAL-PERMISSION-ErikWalther</t>
  </si>
  <si>
    <t>Coop Pronto - Bern Bethlehem GmbH Eymattstrasse 15 - 3027 Bern - 101464</t>
  </si>
  <si>
    <t>Bern Eymattstrasse (SAP 3527)</t>
  </si>
  <si>
    <t>0029-Naila</t>
  </si>
  <si>
    <t>Coop Pronto - Im Gagoz 77 - 9496 Balzers - 103561</t>
  </si>
  <si>
    <t>Balzers (SAP 3783)</t>
  </si>
  <si>
    <t>QS-PerformanceTest Sub Site (20/300)</t>
  </si>
  <si>
    <t>Migrol Tankstelle - Hauptstrasse 69 - 2557 Studen BE - 103412</t>
  </si>
  <si>
    <t>Studen Hauptstrasse (MIGROL-ST-4166567)</t>
  </si>
  <si>
    <t>Coop Pronto - Standstrasse 42 - 3014 Bern - 101571</t>
  </si>
  <si>
    <t>Bern Standstrasse (SAP 3948)</t>
  </si>
  <si>
    <t>Migrol Tankstelle - Buchlistrasse 1 - 4704 Niederbipp - 101309</t>
  </si>
  <si>
    <t>Niederbipp Buchlistr. (MIGROL-ST-4166645)</t>
  </si>
  <si>
    <t>QS-PerformanceTest Sub Site (19/300)</t>
  </si>
  <si>
    <t>0024-Haßfurt-Schweinfurter Str.</t>
  </si>
  <si>
    <t>QS-PerformanceTest Sub Site (18/300)</t>
  </si>
  <si>
    <t>Migrol Tankstelle - Kantonsstrasse 110 - 8863 Buttikon SZ - 102121</t>
  </si>
  <si>
    <t>Buttikon (MIGROL-ST-4166541)</t>
  </si>
  <si>
    <t>Coop Pronto - Zürcherstrasse 110/112 - 8903 Birmensdorf ZH - 101564</t>
  </si>
  <si>
    <t>Birmensdorf (SAP 4226)</t>
  </si>
  <si>
    <t>0021-Barchfeld</t>
  </si>
  <si>
    <t>0016-Gera</t>
  </si>
  <si>
    <t>Coop Pronto - Bernstrasse 32 - 3175 Flamatt - 103591</t>
  </si>
  <si>
    <t>Flamatt (SAP 3817)</t>
  </si>
  <si>
    <t>QS-PerformanceTest Sub Site (17/300)</t>
  </si>
  <si>
    <t>Migrol Tankstelle - Schlagstrasse 99 - 6430 Schwyz - 103671</t>
  </si>
  <si>
    <t>Schwyz Schlagstrasse (MIGROL-ST-4166676)</t>
  </si>
  <si>
    <t>Coop Pronto - Kirchbergstrasse 102 - 3400 Burgdorf - 101329</t>
  </si>
  <si>
    <t>Burgdorf (SAP 3445)</t>
  </si>
  <si>
    <t>Migrol Tankstelle - Grundstrasse 130 - 6430 Schwyz - 103670</t>
  </si>
  <si>
    <t>Schwyz Grundstrasse (MIGROL-ST-4166589)</t>
  </si>
  <si>
    <t>0014-Gerolzhofen</t>
  </si>
  <si>
    <t>QS-PerformanceTest Sub Site (16/300)</t>
  </si>
  <si>
    <t>Coop Pronto - Route de la Rosière 10 - 1782 Belfaux - 103768</t>
  </si>
  <si>
    <t>Belfaux (SAP 4714)</t>
  </si>
  <si>
    <t>Migrol Tankstelle - Elishof 1 - 6035 Perlen-Root - 104276</t>
  </si>
  <si>
    <t>Perlen (MIGROL-ST-4166595)</t>
  </si>
  <si>
    <t>0008-Coburg</t>
  </si>
  <si>
    <t>QS-PerformanceTest Sub Site (15/300)</t>
  </si>
  <si>
    <t>Migrol Tankstelle - Gurnigelstrasse 8 - 3132 Riggisberg - 103415</t>
  </si>
  <si>
    <t>Riggisberg, Gurnigelstrasse 8 (MIGROL-ST-4167152)</t>
  </si>
  <si>
    <t>QS-PerformanceTest Sub Site (14/300)</t>
  </si>
  <si>
    <t>0007-Hof / Saale</t>
  </si>
  <si>
    <t>0007-Hof / Kulmbacher</t>
  </si>
  <si>
    <t>Coop Pronto - Schaffhauserstrasse 240 - 8222 Beringen - 103686</t>
  </si>
  <si>
    <t>Beringen (SAP 4821)</t>
  </si>
  <si>
    <t>Coop Pronto - Morgenstrasse 89 - 3018 Bern - 101560</t>
  </si>
  <si>
    <t>Bern Morgenstrasse (SAP 3774)</t>
  </si>
  <si>
    <t>QS-PerformanceTest Sub Site (13/300)</t>
  </si>
  <si>
    <t>Migrol Tankstelle - Hauptstrasse 134 - 7075 Churwalden - 104201</t>
  </si>
  <si>
    <t>Churwalden (MIGROL-ST-4166653)</t>
  </si>
  <si>
    <t>0004-Haßfurt-Zeilerstr.</t>
  </si>
  <si>
    <t>QS-PerformanceTest Sub Site (12/300)</t>
  </si>
  <si>
    <t>0003-Schweinfurt-Alte Bahnhofstr.</t>
  </si>
  <si>
    <t>Coop Pronto - Mellingerstrasse 160 - 5400 Baden - 101544</t>
  </si>
  <si>
    <t>Baden (SAP 3734)</t>
  </si>
  <si>
    <t>Migrol Service - Saegestrasse 15 - Langnau i. E. - 102082</t>
  </si>
  <si>
    <t>Langnau i.E.. (MIGROL-ST-4166602)</t>
  </si>
  <si>
    <t>Migrol Tankstelle - Industriestrasse 9 - 3661 Uetendorf - 103454</t>
  </si>
  <si>
    <t>Uetendorf (MIGROL-ST-4166658)</t>
  </si>
  <si>
    <t>0001-Schweinfurt-Carl Benz Str.</t>
  </si>
  <si>
    <t>QS-PerformanceTest Sub Site (11/300)</t>
  </si>
  <si>
    <t>Coop Pronto - Hochbergerstrasse 60 - 4057 Basel - 101495</t>
  </si>
  <si>
    <t>Basel Hochbergerstrasse (SAP 3716)</t>
  </si>
  <si>
    <t>Station Migrol - Route de Payerne 29 - Estavayer-le-Lac - 103420</t>
  </si>
  <si>
    <t>Estavayer-le-Lac (MIGROL-ST-4166673)</t>
  </si>
  <si>
    <t>Coop Pronto - Zugerstrasse 64 - 6340 Baar - 101324</t>
  </si>
  <si>
    <t>Baar (SAP 3411)</t>
  </si>
  <si>
    <t>QS-PerformanceTest Sub Site (10/300)</t>
  </si>
  <si>
    <t>Migrol Service - Via San Gottardo 13 - 6900 Lugano - 103403</t>
  </si>
  <si>
    <t>Lugano (MIGROL-ST-4166647)</t>
  </si>
  <si>
    <t>QS-PerformanceTest Sub Site (9/300)</t>
  </si>
  <si>
    <t>0027-Poppenhausen</t>
  </si>
  <si>
    <t>Migrol Tankstelle - Thunstrasse 16 - Zweisimmen - 102089</t>
  </si>
  <si>
    <t>Zweisimmen, Thunstrasse 16 (MIGROL-ST-4166573)</t>
  </si>
  <si>
    <t>QS-PerformanceTest Sub Site (8/300)</t>
  </si>
  <si>
    <t>Coop Pronto - Wengimattstrasse 1 - 4710 Balsthal - 101407</t>
  </si>
  <si>
    <t>Balsthal (SAP 3468)</t>
  </si>
  <si>
    <t>0025-Hammelburg</t>
  </si>
  <si>
    <t>Coop Pronto - Reinacherstrasse 202-204 - 4053 Basel - 101352</t>
  </si>
  <si>
    <t>Basel Reinacherstrasse (SAP 3432)</t>
  </si>
  <si>
    <t>QS-PerformanceTest Sub Site (7/300)</t>
  </si>
  <si>
    <t>Migrol Tankstelle - Bernstrasse 205 - 4852 Rothrist - 103475</t>
  </si>
  <si>
    <t>Rothrist, Bernstrasse 205 (MIGROL-ST-4166630)</t>
  </si>
  <si>
    <t>0023-Tambach Dietharz</t>
  </si>
  <si>
    <t>Migrol Tankstelle - Kaiserstuhlerstrasse 10 - 8187 Weiach - 101050</t>
  </si>
  <si>
    <t>Weiach (MIGROL-ST-4166571)</t>
  </si>
  <si>
    <t>0022-Meiningen</t>
  </si>
  <si>
    <t>Coop Pronto - Rue de la Drageue 46 A - 1951 Sion - 104255</t>
  </si>
  <si>
    <t>Sion Route de la Drague (SAP 5368)</t>
  </si>
  <si>
    <t>QS-PerformanceTest Sub Site (6/300)</t>
  </si>
  <si>
    <t>QS-PerformanceTest Sub Site (5/300)</t>
  </si>
  <si>
    <t>Coop Pronto - Via Stazione 31 - 6593 Cadenazzo - 101386</t>
  </si>
  <si>
    <t>Cadenazzo (SAP 3502)</t>
  </si>
  <si>
    <t>0019-Neuhaus</t>
  </si>
  <si>
    <t>Migrol Tankstelle - Ausserdorfstrasse 19 - 5107 Schinznach Dorf - 102072</t>
  </si>
  <si>
    <t>Schinznach-Dorf (MIGROL-ST-4166565)</t>
  </si>
  <si>
    <t>0018-Bayreuth</t>
  </si>
  <si>
    <t>0018-Bayreuth-Meranierring</t>
  </si>
  <si>
    <t>Migrol Service - Auerstrasse 20 - Heerbrugg - 102531</t>
  </si>
  <si>
    <t>Heerbrugg (MIGROL-ST-4166506)</t>
  </si>
  <si>
    <t>Coop Pronto - Avenue de la Gare 37 - 1964 Conthey - 101394</t>
  </si>
  <si>
    <t>Conthey (SAP 3493)</t>
  </si>
  <si>
    <t>QS-PerformanceTest Sub Site (4/300)</t>
  </si>
  <si>
    <t>Migrol Tankstelle - Winterthurerstrasse 7 - 8360 Eschlikon TG - 103433</t>
  </si>
  <si>
    <t>Eschlikon (MIGROL-ST-4166665)</t>
  </si>
  <si>
    <t>Coop Tankstelle - (DFK) Via Sonvico 5 - 6952 Canobbio - 103704</t>
  </si>
  <si>
    <t>Bechtle CPA-Pilot locations,Migrationhelper:DNSNTPLocalBreakout,SiteType:Fuel</t>
  </si>
  <si>
    <t>Canobbio (SAP 4863)</t>
  </si>
  <si>
    <t>0017-Bad Königshofen</t>
  </si>
  <si>
    <t>Coop Pronto - Hinterbergstrasse 6 - 6330 Cham - 101558</t>
  </si>
  <si>
    <t>Cham (SAP 3801)</t>
  </si>
  <si>
    <t>QS-PerformanceTest Sub Site (3/300)</t>
  </si>
  <si>
    <t>0013-Lichtenfels</t>
  </si>
  <si>
    <t>Migrol Tankstelle - Via Lugano 49 - 6953 Lugaggia - 104242</t>
  </si>
  <si>
    <t>Lugaggia (MIGROL-ST-4166592)</t>
  </si>
  <si>
    <t>Migrol Tankstelle - St. Gallerstrasse 100 - 9470 Buchs SG - 103793</t>
  </si>
  <si>
    <t>Buchs SG (MIGROL-ST-4166509)</t>
  </si>
  <si>
    <t>QS-PerformanceTest Sub Site (2/300)</t>
  </si>
  <si>
    <t>Coop Tankstelle - (DFK) Rue de la Madelaine 2 - 1964 Conthey-Vétroz - 103874</t>
  </si>
  <si>
    <t>Conthey DFK (SAP 4962)</t>
  </si>
  <si>
    <t>CMA-Test</t>
  </si>
  <si>
    <t>Schulungssystem 00 Raum 2</t>
  </si>
  <si>
    <t>0012-Rehau</t>
  </si>
  <si>
    <t>Schulungssystem 20 Raum 2</t>
  </si>
  <si>
    <t>Migrol Tankstelle - Bernstrasse 27 - 3150 Schwarzenburg - 103478</t>
  </si>
  <si>
    <t>Schwarzenburg (MIGROL-ST-4166659)</t>
  </si>
  <si>
    <t>Coop Pronto - Chemin de Saugy 1 - 1023 Crissier - 101411</t>
  </si>
  <si>
    <t>Crissier (SAP 3494)</t>
  </si>
  <si>
    <t>0053-Werneck</t>
  </si>
  <si>
    <t>Migrol Service - Via Bellinzona 37 - Giubiasco - 103828</t>
  </si>
  <si>
    <t>Giubiasco (MIGROL-ST-4166512)</t>
  </si>
  <si>
    <t>Coop Pronto - Route de Delémont 13 - 2830 Courrendlin - 101371</t>
  </si>
  <si>
    <t>Courrendlin (SAP 3483)</t>
  </si>
  <si>
    <t>0049-Kaltennordheim</t>
  </si>
  <si>
    <t>Schulungssystem 19 Raum 2</t>
  </si>
  <si>
    <t>Station Migrol - Route d'Avenches - Domdidier - 102136</t>
  </si>
  <si>
    <t>Domdidier (MIGROL-ST-4166605)</t>
  </si>
  <si>
    <t>0043-Oberthulba</t>
  </si>
  <si>
    <t>Schulungssystem 18 Raum 2</t>
  </si>
  <si>
    <t>Coop Pronto - Allée du Port 3 - 2013 Colombier NE - 103886</t>
  </si>
  <si>
    <t>Colombier (SAP 4874)</t>
  </si>
  <si>
    <t>Migrol Tankstelle - Hauptstrasse 18 - 3752 Wimmis - 103395</t>
  </si>
  <si>
    <t>Wimmis (MIGROL-ST-4166572)</t>
  </si>
  <si>
    <t>0031-Bad Kissingen-Kurhausstr.</t>
  </si>
  <si>
    <t>Coop Pronto - Via Locarno 104 - 6616 Losone - 103785</t>
  </si>
  <si>
    <t>Losone (SAP 4857)</t>
  </si>
  <si>
    <t>Schulungssystem 17 Raum 2</t>
  </si>
  <si>
    <t>Coop Pronto - Route du Montagnier - 1868 Collombey-Muraz - 101436</t>
  </si>
  <si>
    <t>Collombey (SAP 3498)</t>
  </si>
  <si>
    <t>Migrol Service - Zuercherstrasse 275 - 8500 Frauenfeld - 103314</t>
  </si>
  <si>
    <t>Frauenfeld, Zürcherstrasse 275 (MIGROL-ST-4166672)</t>
  </si>
  <si>
    <t>Schulungssystem 16 Raum 2</t>
  </si>
  <si>
    <t>0015-Hallstadt</t>
  </si>
  <si>
    <t>Migrol Tankstelle - Chemin du Bac 21 - 1213 Petit-Lancy - 103864</t>
  </si>
  <si>
    <t>Petit-Lancy (MIGROL-ST-4166683)</t>
  </si>
  <si>
    <t>0011-Schweinfurt-Ernst-Sachs-Str.</t>
  </si>
  <si>
    <t>Coop Pronto - Spundisstrasse 11 - 7000 Chur - 104172</t>
  </si>
  <si>
    <t>Chur Spundistrasse (SAP 5163)</t>
  </si>
  <si>
    <t>Schulungssystem 15 Raum 2</t>
  </si>
  <si>
    <t>Coop Pronto - Kasernenstrasse 30 - 7000 Chur - 103681</t>
  </si>
  <si>
    <t>Chur Kasernenstrasse (SAP 4600)</t>
  </si>
  <si>
    <t>Migrol Tankstelle - Rossbodenstrasse 14-16 - 7000 Chur - 104091</t>
  </si>
  <si>
    <t>Chur, Rossbodenstrasse 14-16 (MIGROL-ST-4166533)</t>
  </si>
  <si>
    <t>Schulungssystem 14 Raum 2</t>
  </si>
  <si>
    <t>0010-Schweinfurt-Friedhofstr.</t>
  </si>
  <si>
    <t>Migrol Service - Route de Lausanne 114 - Nyon-Prangins - 103849</t>
  </si>
  <si>
    <t>Nyon-Prangins (MIGROL-ST-4166515)</t>
  </si>
  <si>
    <t>Schulungssystem 13 Raum 2</t>
  </si>
  <si>
    <t>Coop Pronto - Wässeristrasse 38 - 8340 Hinwil - 103873</t>
  </si>
  <si>
    <t>Hinwil (SAP 4963)</t>
  </si>
  <si>
    <t>Schulungssystem 12 Raum 2</t>
  </si>
  <si>
    <t>Coop Pronto - Lindenstrasse 1 - 8604 Volketswil - 101400</t>
  </si>
  <si>
    <t>Volketswil Lindenstrasse (SAP 3465)</t>
  </si>
  <si>
    <t>0002-Kulmbach-Hauptstr.</t>
  </si>
  <si>
    <t>Migrol Tankstelle - Dorfstrasse 27 - 3324 Hindelbank - 103413</t>
  </si>
  <si>
    <t>Hindelbank (MIGROL-ST-4166648)</t>
  </si>
  <si>
    <t>0065-Neustadt</t>
  </si>
  <si>
    <t>QS-PerformanceTest Sub Site (1/300)</t>
  </si>
  <si>
    <t>Schulungssystem 11 Raum 2</t>
  </si>
  <si>
    <t>Coop Pronto - Wülflingerstrasse 390 - 8408 Winterthur - 101585</t>
  </si>
  <si>
    <t>Winterthur Wüflingerstrasse (SAP 3850)</t>
  </si>
  <si>
    <t>Station Migrol - Rue Vermont 4 - Genève - 103393</t>
  </si>
  <si>
    <t>Genève, Rue Vermont 4 (MIGROL-ST-4166638)</t>
  </si>
  <si>
    <t>Migrol Tankstelle - Amriswilerstrasse 52 - 9314 Steinebrunn - 103406</t>
  </si>
  <si>
    <t>Steinebrunn (MIGROL-ST-4166654)</t>
  </si>
  <si>
    <t>QS-PerformanceTest Main Site</t>
  </si>
  <si>
    <t>Schulungssystem 10 Raum 2</t>
  </si>
  <si>
    <t>0039-Hof-Gabelsbergerstr.</t>
  </si>
  <si>
    <t>Coop Pronto - Rudolf-Dieselstrasse 13 - 8404 Winterthur - 101370</t>
  </si>
  <si>
    <t>Winterthur Rudolf-Dieselstrasse (SAP 3439)</t>
  </si>
  <si>
    <t>0055-Lohr</t>
  </si>
  <si>
    <t>Schulungssystem 9 Raum 2</t>
  </si>
  <si>
    <t>Migrol - AMAG Bellinzona - Via S. Gottardo 71 - 6500 Bellinzona - 104130</t>
  </si>
  <si>
    <t>Bellinzona, Via S. Gottardo 71 (MIGROL-ST-4166537)</t>
  </si>
  <si>
    <t>Coop Pronto - Toggenburgerstrasse 103 - 9500 Wil SG - 101439</t>
  </si>
  <si>
    <t>Wil SG (SAP 3477)</t>
  </si>
  <si>
    <t>Schulungssystem 8 Raum 2</t>
  </si>
  <si>
    <t>0042-Zellingen</t>
  </si>
  <si>
    <t>Migrol Tankstelle - Zürichstrasse 57 - 8306 Brüttisellen - 102078</t>
  </si>
  <si>
    <t>Brüttisellen (PlatzNr 787) - retrired</t>
  </si>
  <si>
    <t>Coop Pronto - Via Uletsch - 7031 Laax GR - 101517</t>
  </si>
  <si>
    <t>Laax (SAP 3737)</t>
  </si>
  <si>
    <t>Schulungssystem 7 Raum 2</t>
  </si>
  <si>
    <t>Migrol Service - Römerstrasse 16 - 2555 Brügg BE - 101296</t>
  </si>
  <si>
    <t>Brügg, Römerstrasse 16 (MIGROL-ST-4166540)</t>
  </si>
  <si>
    <t>Coop Pronto - Menznauerstrasse 29 - 6110 Wolhusen - 101465</t>
  </si>
  <si>
    <t>Wolhusen (SAP 3478)</t>
  </si>
  <si>
    <t>0020-Volkach</t>
  </si>
  <si>
    <t>Schulungssystem 6 Raum 2</t>
  </si>
  <si>
    <t>Station Migrol - Industriestrasse 33 - Courtaman - 103435</t>
  </si>
  <si>
    <t>Courtaman (MIGROL-ST-4166641)</t>
  </si>
  <si>
    <t>Coop Pronto - Ettiswilertrasse 41 - 6130 Willisau - 101466</t>
  </si>
  <si>
    <t>Willisau (SAP 3479)</t>
  </si>
  <si>
    <t>0026-Schweinfurt-Hafenstrasse</t>
  </si>
  <si>
    <t>Schulungssystem 5 Raum 2</t>
  </si>
  <si>
    <t>Viamala Raststätte-Production</t>
  </si>
  <si>
    <t>Viamala Raststätte Thusis AG</t>
  </si>
  <si>
    <t>Coop Pronto - Seetalstrasse 44 - 6020 Emmenbrücke - 104048</t>
  </si>
  <si>
    <t>Emmenbrücke Seetalstrasse (SAP 5559)</t>
  </si>
  <si>
    <t>Migrol Tankstelle - Gwattstrasse 22-28 - 3604 Thun - 103831</t>
  </si>
  <si>
    <t>Thun, Gwattstrasse 22-28 (MIGROL-ST-4166514)</t>
  </si>
  <si>
    <t>Gooods-Test</t>
  </si>
  <si>
    <t>ENI GO Rapperswil - Test</t>
  </si>
  <si>
    <t>Coop Pronto - Sägestrasse 36A - 3550 Langnau i. E. - 101566</t>
  </si>
  <si>
    <t>Langnau i. E. (SAP 3772)</t>
  </si>
  <si>
    <t>Migrol Tankstelle - Worbstrasse 226 - Gümligen - 103855</t>
  </si>
  <si>
    <t>Gümligen (MIGROL-ST-4166530)</t>
  </si>
  <si>
    <t>Schulungssystem 4 Raum 2</t>
  </si>
  <si>
    <t>Raststätte Thurau Nord (101056)</t>
  </si>
  <si>
    <t>Coop Pronto - Zugerstrasse 40 - 6403 Küssnacht am Rigi - 101584</t>
  </si>
  <si>
    <t>Küssnacht (SAP 3762)</t>
  </si>
  <si>
    <t>Migrol Tankstelle - Ackerstrasse 47 - 8610 Uster - 103853</t>
  </si>
  <si>
    <t>Uster (MIGROL-ST-4166518)</t>
  </si>
  <si>
    <t>Schulungssystem 3 Raum 2</t>
  </si>
  <si>
    <t>Migrol Tankstelle - Hoelzliwisenstrasse 1 - 8604 Volketswil - 103775</t>
  </si>
  <si>
    <t>Volketswil, Hölzliwisenstrasse 1 (MIGROL-ST-4166508)</t>
  </si>
  <si>
    <t>Raststätte Walensee Süd (102726)</t>
  </si>
  <si>
    <t>Schulungssystem 2 Raum 2</t>
  </si>
  <si>
    <t>Coop Pronto - Sonnenstrasse 16 - 8280 Kreuzlingen - 101374</t>
  </si>
  <si>
    <t>Kreuzlingen Sonnenstrasse (SAP 3436)</t>
  </si>
  <si>
    <t>Thurau Raststätten-QS</t>
  </si>
  <si>
    <t>Raststätte Walensee Süd AG Gastro</t>
  </si>
  <si>
    <t>MIGROS Testsystem</t>
  </si>
  <si>
    <t>HOS MIGROS Test System</t>
  </si>
  <si>
    <t>Migrol Tankstelle - Kempttalstrasse 73 - 8320 Fehraltorf - 103342</t>
  </si>
  <si>
    <t>Fehraltorf (MIGROL-ST-4166636)</t>
  </si>
  <si>
    <t>Coop Pronto - Bassersdorfstrasse 113 - 8302 Kloten - 101342</t>
  </si>
  <si>
    <t>Kloten (SAP 3425)</t>
  </si>
  <si>
    <t>Schulungssystem 1 Raum 2</t>
  </si>
  <si>
    <t>Schulungssystem 10</t>
  </si>
  <si>
    <t>Raststätte Rheintal West</t>
  </si>
  <si>
    <t>Coop Pronto - Wilerstrasse 210 - 9533 Kirchberg SG - 101580</t>
  </si>
  <si>
    <t>Kirchberg (SAP 4298)</t>
  </si>
  <si>
    <t>Migrol Service - Neuweidstrasse 1 - Oberkirch - 103205</t>
  </si>
  <si>
    <t>Oberkirch (MIGROL-ST-4166510)</t>
  </si>
  <si>
    <t>Migrol &amp; migrolino-Test</t>
  </si>
  <si>
    <t>Mio Test (4167145)</t>
  </si>
  <si>
    <t>Coop Pronto - Hauptstrasse 29 - 8246 Langwiesen - 101435</t>
  </si>
  <si>
    <t>Langwiesen (SAP 3520)</t>
  </si>
  <si>
    <t>Migrol Tankstelle - Steinackerstrasse 20 - 8302 Kloten - 103863</t>
  </si>
  <si>
    <t>Kloten, Steinackerstrasse 20 (MIGROL-ST-4166527)</t>
  </si>
  <si>
    <t>Schulungssystem 9</t>
  </si>
  <si>
    <t>Raststätte Thurau AG Süd</t>
  </si>
  <si>
    <t>0040-Nüdlingen</t>
  </si>
  <si>
    <t>Coop Pronto - Hauptstrasse 19 - 6015 Luzern-Reussbühl - 101256</t>
  </si>
  <si>
    <t>Luzern-Reussbühl (SAP 3410)</t>
  </si>
  <si>
    <t>Raststätte Rheintal Ost Gastro</t>
  </si>
  <si>
    <t>Schulungssystem 8</t>
  </si>
  <si>
    <t>Migrol Tankstelle AMAG - Hauptstrasse 99 - Kreuzlingen - 103830</t>
  </si>
  <si>
    <t>Kreuzlingen, Hauptstrasse 99 (MIGROL-ST-4166516)</t>
  </si>
  <si>
    <t>Migrol Tankstelle - Zuerichstrasse 7 - Winkel - 103462</t>
  </si>
  <si>
    <t>Winkel bei Bülach (MIGROL-ST-4166666)</t>
  </si>
  <si>
    <t>Raststätte Thurau AG Nord Gastro</t>
  </si>
  <si>
    <t>0006-Kulmbach</t>
  </si>
  <si>
    <t>Coop Pronto - Rue de la Fiaz 38-40 - 2300 La Chaux-de-Fonds - 101385</t>
  </si>
  <si>
    <t>La Chaux-de-Fonds (SAP 3482)</t>
  </si>
  <si>
    <t>Ci-Test-Rothenburg Migrol (4167168)</t>
  </si>
  <si>
    <t>Schulungssystem 7</t>
  </si>
  <si>
    <t>Migrol Tankstelle - Im Schnegg 1 - 8810 Horgen - 103859</t>
  </si>
  <si>
    <t>Horgen, Im Schnegg 1 (MIGROL-ST-4166526)</t>
  </si>
  <si>
    <t>HOS Thurau</t>
  </si>
  <si>
    <t>Schulungssystem 6</t>
  </si>
  <si>
    <t>Coop Pronto - Rue de Girardet 45 - 2400 Le Locle - 101569</t>
  </si>
  <si>
    <t>Le Locle (SAP 3843)</t>
  </si>
  <si>
    <t>0058-Dieburg</t>
  </si>
  <si>
    <t>TestSite-TAV</t>
  </si>
  <si>
    <t>Schulungssystem 5</t>
  </si>
  <si>
    <t>Coop Pronto - Emmentalstrasse 124 - 3414 Oberburg - 101567</t>
  </si>
  <si>
    <t>Oberburg (SAP 3950)</t>
  </si>
  <si>
    <t>Bern</t>
  </si>
  <si>
    <t>Migrol Tankstelle - Langfeldstrasse 30 - 4528 Zuchwil - 103848</t>
  </si>
  <si>
    <t>Zuchwil (MIGROL-ST-4166513)</t>
  </si>
  <si>
    <t>LAVEBA/BiCA QS Testsystem "Teufen"</t>
  </si>
  <si>
    <t>Teufen</t>
  </si>
  <si>
    <t>gooods-Test-Suhr</t>
  </si>
  <si>
    <t>SPECIAL-PERMISSION-BITHAWK-MIGROLINO</t>
  </si>
  <si>
    <t>Schulungssystem 99</t>
  </si>
  <si>
    <t>Migrol Station - Bodenackerstrasse 63 - 4657 Dulliken - 104116</t>
  </si>
  <si>
    <t>Dulliken, Bodenackerstrasse (MIGROL-ST-4166534)</t>
  </si>
  <si>
    <t>Coop Pronto - Langsägestrasse 4 - 6010 Kriens - 101500</t>
  </si>
  <si>
    <t>Kriens Langsägestrasse (SAP 3634)</t>
  </si>
  <si>
    <t>gooods-Test-Rothenburg (4797408)</t>
  </si>
  <si>
    <t>Migrol Tankstelle - Winterthurerstrasse 686 - 8051 Zürich - 103452</t>
  </si>
  <si>
    <t>Zürich, Winterthurerstr. 686 (MIGROL-ST-4166618)</t>
  </si>
  <si>
    <t>Headoffice</t>
  </si>
  <si>
    <t>0037-Rentweinsdorf</t>
  </si>
  <si>
    <t>Schulungssystem 4</t>
  </si>
  <si>
    <t>Schulungssystem 3</t>
  </si>
  <si>
    <t>Migrol Tankstelle - Wehntalerstrasse 18 - Zürich - 103389</t>
  </si>
  <si>
    <t>Zürich, Wehntalerstr. 18 (MIGROL-ST-4166585)</t>
  </si>
  <si>
    <t>Coop Pronto - Altishoferstrasse 33 - 6252 Dagmersellen - 103644</t>
  </si>
  <si>
    <t>Dagmersellen (SAP 4272)</t>
  </si>
  <si>
    <t>Ci-Test-Rothenburg migrolino (4797993)</t>
  </si>
  <si>
    <t>Migrol Tankstelle - Baarerstrasse 2 - 8932 Mettmenstetten - 103575</t>
  </si>
  <si>
    <t>Mettmenstetten (Rossau) (MIGROL-ST-4166625)</t>
  </si>
  <si>
    <t>Schulungssystem 2</t>
  </si>
  <si>
    <t>Coop Pronto - Bielstrasse 30 - 3250 Lyss - 101550</t>
  </si>
  <si>
    <t>Lyss (SAP 3727)</t>
  </si>
  <si>
    <t>Coop Pronto - Hardstrasse 49 - 4133 Pratteln - 101595</t>
  </si>
  <si>
    <t>Pratteln (SAP 4027)</t>
  </si>
  <si>
    <t>Schulungssystem 1</t>
  </si>
  <si>
    <t>Migrol Tankstelle - Zuerichstrasse 29 - Affoltern am Albis - 103453</t>
  </si>
  <si>
    <t>Affoltern aA (MIGROL-ST-4166616)</t>
  </si>
  <si>
    <t>CIRRUS CMA TEST Rotbach 114456</t>
  </si>
  <si>
    <t>Testsystem Rotbach (Baar Sihlbrugg)</t>
  </si>
  <si>
    <t>Migrol Tankstelle - Luzernerstrasse 17 - 6030 Ebikon - 103854</t>
  </si>
  <si>
    <t>Ebikon, Luzernerstrasse 17 (MIGROL-ST-4166525)</t>
  </si>
  <si>
    <t>0056-Rimpar</t>
  </si>
  <si>
    <t>Coop Pronto - Brunnenstrasse 12 - 8604 Volketswil - 101441</t>
  </si>
  <si>
    <t>Volketswil (SAP 3518)</t>
  </si>
  <si>
    <t>Coop Tankstelle - Talgut-Zentrum 3 - 3063 Ittigen - 101425</t>
  </si>
  <si>
    <t>CiRRUSFeatureFlag:UseEnginePos,SiteType:Fuel</t>
  </si>
  <si>
    <t>Migrol Tankstelle - Stuedlerstrasse 1 - Ottenbach - 103459</t>
  </si>
  <si>
    <t>Ottenbach (MIGROL-ST-4166668)</t>
  </si>
  <si>
    <t>Migrol Tankstelle - Bächliwis 29 - 8184 Bachenbülach - 103852</t>
  </si>
  <si>
    <t>Bachenbülach (MIGROL-ST-4166517)</t>
  </si>
  <si>
    <t>Erik Walther-QS</t>
  </si>
  <si>
    <t>198-Karlsruhe QS(A)</t>
  </si>
  <si>
    <t>198-Karlsruhe QS</t>
  </si>
  <si>
    <t>Coop Pronto - Route de Chenevière 1 - 1763 Granges-Paccot - 101493</t>
  </si>
  <si>
    <t>Granges-Paccot (SAP 3694)</t>
  </si>
  <si>
    <t>Migrol Service - Glattalstrasse 175 - 8153 Rümlang - 103427</t>
  </si>
  <si>
    <t>Rümlang (PlatzNr 811) - Retired</t>
  </si>
  <si>
    <t>Coop Pronto - Haag-Center Rueti - 9469 Haag - 101506</t>
  </si>
  <si>
    <t>Haag (SAP 3757)</t>
  </si>
  <si>
    <t>Rothenburg-Erik Walther QS0199 (H2)</t>
  </si>
  <si>
    <t>199-Rothenburg-QS</t>
  </si>
  <si>
    <t>Rothenburg-Erik Walther-QS0199 (H2)</t>
  </si>
  <si>
    <t>Zentrale EW</t>
  </si>
  <si>
    <t>Erik Walther-Test</t>
  </si>
  <si>
    <t>Test Tankstelle Labor EW</t>
  </si>
  <si>
    <t>Coop Pronto - Rue de Soleure 60 - 2740 Moutier - 101375</t>
  </si>
  <si>
    <t>Moutier (SAP 3485)</t>
  </si>
  <si>
    <t>Migrol Tankstelle AMAG - Bernstrassse 59 - 8952 Schlieren - 103880</t>
  </si>
  <si>
    <t>Schlieren (MIGROL-ST-4166522)</t>
  </si>
  <si>
    <t>Migrol Tankstelle - Fahrweidstrasse 54 - 8951 Fahrweid - 102112</t>
  </si>
  <si>
    <t>Fahrweid (MIGROL-ST-4166587)</t>
  </si>
  <si>
    <t>Zentrale</t>
  </si>
  <si>
    <t>Coop Pronto - Les Combes Rue de Battentin 1 - 1630 Bulle - 101510</t>
  </si>
  <si>
    <t>Bulle Les Combes (SAP 3739)</t>
  </si>
  <si>
    <t>Test Site on Test 7992</t>
  </si>
  <si>
    <t>Ci-Test-Suhr (4797992)</t>
  </si>
  <si>
    <t>CMA Testsystem "Donau" - 101556</t>
  </si>
  <si>
    <t>Testsystem Donau (Kaiseraugst)</t>
  </si>
  <si>
    <t>Migrol Tankstelle - Limmattalstrasse 15 - 8955 Oetwil a.d. Limmat - 101995</t>
  </si>
  <si>
    <t>Oetwil a.d. Limmat (MIGROL-ST-4166615)</t>
  </si>
  <si>
    <t>test delet</t>
  </si>
  <si>
    <t>Coop Pronto - Sihlbruggstrasse 152 - 6340 Sihlbrugg/Baar - 101258</t>
  </si>
  <si>
    <t>Sihlbrugg (SAP 3457)</t>
  </si>
  <si>
    <t>CMA-QS</t>
  </si>
  <si>
    <t>CIRRUS CPA QS Buzibach 104272 (A3A4)</t>
  </si>
  <si>
    <t>Zentrale EW Labor</t>
  </si>
  <si>
    <t>Site BA</t>
  </si>
  <si>
    <t>Coop Pronto - Hausimollstrasse 3 - 4622 Egerkingen - 101442</t>
  </si>
  <si>
    <t>Egerkingen (SAP 3519)</t>
  </si>
  <si>
    <t>Coop Qualification Rhone (CIRRUS) - 104267</t>
  </si>
  <si>
    <t>Migrol Tankstelle - Freiburgstrasse 508 - 3018 Bern - 103350</t>
  </si>
  <si>
    <t>Bern, Freiburgstrasse 508 (MIGROL-ST-4166677)</t>
  </si>
  <si>
    <t>Ci-Test-Abrantix</t>
  </si>
  <si>
    <t>Test TSU</t>
  </si>
  <si>
    <t>Migrol Service - Hauptstrasse 145 - Gurmels - 103441</t>
  </si>
  <si>
    <t>Gurmels (MIGROL-ST-4166609)</t>
  </si>
  <si>
    <t>Migrol TestLAB 1 / rot - 103209</t>
  </si>
  <si>
    <t>TestLAB 1 / rot Zürich (PlatzNr 99100)</t>
  </si>
  <si>
    <t>SPEED-QS POS</t>
  </si>
  <si>
    <t>Migrol Tankstelle - Alte Steinhauserstrasse 1 - 6330 Cham - 103860</t>
  </si>
  <si>
    <t>Cham (MIGROL-ST-4166523)</t>
  </si>
  <si>
    <t>Coop Pronto - Lerchenweg 20 - 4303 Kaiseraugst - 101519</t>
  </si>
  <si>
    <t>Kaiseraugst (SAP 3767)</t>
  </si>
  <si>
    <t>Test Test</t>
  </si>
  <si>
    <t>Coop Tankstelle - Baslerstrasse 128 - 5222 Umiken - 101433</t>
  </si>
  <si>
    <t>Umiken (SAP 3604)</t>
  </si>
  <si>
    <t>Migrol Tankstelle - Utoquai 47/49 - Zuerich - 103861</t>
  </si>
  <si>
    <t>Zürich, Utoquai 47 (MIGROL-ST-4166529)</t>
  </si>
  <si>
    <t>Migrol Tankstelle - Aarauerstrasse 20 - 5116 Schinznach Bad - 103892</t>
  </si>
  <si>
    <t>Schinznach Bad (MIGROL-ST-4166532)</t>
  </si>
  <si>
    <t>CiRRUS 3.x Terra</t>
  </si>
  <si>
    <t>CiRRUS 3.x CODAB (G3-H3-QS)</t>
  </si>
  <si>
    <t>Coop Pronto - Rothenburgstrasse 24 - 6020 Emmenbrücke - 104129</t>
  </si>
  <si>
    <t>Emmenbrücke Rothenburgstrasse (SAP 4025)</t>
  </si>
  <si>
    <t>CIRRUS CMA TEST Bielbach 104273</t>
  </si>
  <si>
    <t>Testsystem Bielbach (Reussbühl)</t>
  </si>
  <si>
    <t>Migrol Tankstelle - Giessenstrasse 4 - 8600 Dübendorf - 103881</t>
  </si>
  <si>
    <t>Dübendorf (MIGROL-ST-4166521)</t>
  </si>
  <si>
    <t>CMA Testsystem "Rhein" (CiRRUS Test) - 104127</t>
  </si>
  <si>
    <t>Testsystem Rhein (4444)</t>
  </si>
  <si>
    <t>Coop Tankstelle - Breiti Zürcherstrasse 142 - 4052 Basel - 101401</t>
  </si>
  <si>
    <t>Basel Breite (SAP 3596)</t>
  </si>
  <si>
    <t>Load-Tester</t>
  </si>
  <si>
    <t>Quali Standort 01</t>
  </si>
  <si>
    <t>QS Standort 01 (G1-G2-QS)</t>
  </si>
  <si>
    <t>Migrol Tankstelle - 103879</t>
  </si>
  <si>
    <t>Rain (PlatzNr 234) - Retired</t>
  </si>
  <si>
    <t>Coop Testsystem Aare (CiRRUS QS) - 104268</t>
  </si>
  <si>
    <t>Migrationhelper:DNSNTPLocalBreakout</t>
  </si>
  <si>
    <t>CPA QS Aare (Arlesheim)</t>
  </si>
  <si>
    <t>HOS CMA</t>
  </si>
  <si>
    <t>HOS</t>
  </si>
  <si>
    <t>HOS QS</t>
  </si>
  <si>
    <t>HOS CMA Test</t>
  </si>
  <si>
    <t>BiCA - Infrastructure</t>
  </si>
  <si>
    <t>BiCA Rothenburg</t>
  </si>
  <si>
    <t>BiCA ICT</t>
  </si>
  <si>
    <t>Agrola - 103692</t>
  </si>
  <si>
    <t>Payerne 104154</t>
  </si>
  <si>
    <t>Gioia Combustibili SA - Via Cantonale - 6703 Osogna - 103448</t>
  </si>
  <si>
    <t>Schema Master</t>
  </si>
  <si>
    <t>Master</t>
  </si>
  <si>
    <t>Auto Küry AG - Moosstrasse 9 - 8803 Rüschlikon - 102707</t>
  </si>
  <si>
    <t>Agrola Tankstelle - 103124</t>
  </si>
  <si>
    <t>Moudon 104019</t>
  </si>
  <si>
    <t>Châtel-St-Denis 103593</t>
  </si>
  <si>
    <t>Post Company Cars AG (90111) - Ebnatstrasse 125 - 8200 Schaffhausen - 103942</t>
  </si>
  <si>
    <t>Thayngen 102669</t>
  </si>
  <si>
    <t>Piccadilly SA (2030) - Via Tinelle 31 - 6832 Pedrinate 2 - 103812</t>
  </si>
  <si>
    <t>COMBUSTIA</t>
  </si>
  <si>
    <t>Station-service Combustia -Garage Sam Automobile - 101689</t>
  </si>
  <si>
    <t>Landi Saanenland - 103507</t>
  </si>
  <si>
    <t>Landi Stammertal - 103503</t>
  </si>
  <si>
    <t>LANDI Graubünden - 103758</t>
  </si>
  <si>
    <t>Landi Bern-West - 103633</t>
  </si>
  <si>
    <t>Hornmarkt Baumarkt AG - 103048</t>
  </si>
  <si>
    <t>Landi Reba AG - 103579</t>
  </si>
  <si>
    <t>Attalens - JMA Automobiles SA - Grand-Rue 70 - 1616 Attalens - 102484</t>
  </si>
  <si>
    <t>Escholzmatt 104077</t>
  </si>
  <si>
    <t>Feneberg Lebensmittel GmbH - Im Ballenmoos 2 - 88339 Bad Waldsee - 103588</t>
  </si>
  <si>
    <t>Südwestgarage Lenzburg AG (301 919) - 102504</t>
  </si>
  <si>
    <t>Tankstelle Gasthof Löwen AG - Baselstrasse 10 - 6252 Dagmersellen - 101817</t>
  </si>
  <si>
    <t>Migrol Tankstelle - Essanestrasse 142 - 9492 Eschen - 102106</t>
  </si>
  <si>
    <t>Waldburger Tankstelle - Brülisauerstrasse 51 - 9058 Brülisau - 103902</t>
  </si>
  <si>
    <t>Gebr. Siegenthaler AG - Wald - 6197 Schangnau - 102146</t>
  </si>
  <si>
    <t>Garage-Reichlin AG - Grepperstrasse 86-92 - 6403 Küssnacht am Rigi - 101784</t>
  </si>
  <si>
    <t>Feneberg Lebensmittel GmbH - 88299 Leutkirch - 103589</t>
  </si>
  <si>
    <t>Burgdorf 104105</t>
  </si>
  <si>
    <t>Jowa AG - 103980</t>
  </si>
  <si>
    <t>Genève Place de Cornavin 104174</t>
  </si>
  <si>
    <t>Landi Buchsi Thörigen - 101761</t>
  </si>
  <si>
    <t>Windisch 104033</t>
  </si>
  <si>
    <t>Cugy 103651</t>
  </si>
  <si>
    <t>Gebr. Faes AG - Grosssteinengasse 4 - 5727 Oberkulm - 101636</t>
  </si>
  <si>
    <t>Eschenbach 102543</t>
  </si>
  <si>
    <t>STATION</t>
  </si>
  <si>
    <t>Mini Prix Le Papaluna Shop - Rue du Lac 44 - 2014 Bôle - 102010</t>
  </si>
  <si>
    <t>Landi Dorf Volken Genossenschaft - 104279</t>
  </si>
  <si>
    <t>LGG Tankstelle - Amriswilerstrasse 52 - 9314 Steinebrunn - 104328</t>
  </si>
  <si>
    <t>Landi Frila - 103543</t>
  </si>
  <si>
    <t>BIC-Schulung 2</t>
  </si>
  <si>
    <t>CiRRUS Schulungsanlage 2 - Buzibachstrasse 45 - 6023 Rothenburg</t>
  </si>
  <si>
    <t>Hergol Tankstellen AG - Hinterdorfstrasse 22 - 3550 Langnau im Emmental - 104321</t>
  </si>
  <si>
    <t>Garage Formolli GmbH - Vial di Curtin 6 - 7742 Poschiavo - 101261</t>
  </si>
  <si>
    <t>Garage Carrosserie du Collège - Rue du Collège 12 - 1535 Combremont-le-Grand - 102300</t>
  </si>
  <si>
    <t>ecoTank AG - Talstrasse 134 - 5275 Etzgen - 101845</t>
  </si>
  <si>
    <t>Agrola Tankstelle - 104073</t>
  </si>
  <si>
    <t>Luzern-Littau 102170</t>
  </si>
  <si>
    <t>Garage Schafroth AG - Huttwilstrasse 5 - Weier im Emmental - 103781</t>
  </si>
  <si>
    <t>Agrola - 103747</t>
  </si>
  <si>
    <t>Feneberg Lebensmittel GmbH - Rudolf-Diesel-Strasse 1 - 87527 Sonthofen - 103590</t>
  </si>
  <si>
    <t>Piccadilly SA (2043) - Via Pignora - 6882 Brusata Pignora - 103809</t>
  </si>
  <si>
    <t>BIC-MT</t>
  </si>
  <si>
    <t>Landi Markt Bützberg - 103449</t>
  </si>
  <si>
    <t>Ryter-Reichenbach -Gsteigstarsse -Gstaad - 102220</t>
  </si>
  <si>
    <t>Garage Kerlein - Baselstrasse 45 - 6252 Dagmersellen - 101946</t>
  </si>
  <si>
    <t>LANDI Bern-West - 103574</t>
  </si>
  <si>
    <t>Beringen - Industriestrasse - 8222 Beringen - 103650</t>
  </si>
  <si>
    <t>Labor-cma-networkchange</t>
  </si>
  <si>
    <t>Post Company Cars AG (90011) - Zürcherstrasse 161 - 8010 Zürich-Mülligen - 103967</t>
  </si>
  <si>
    <t>Scuol 102436</t>
  </si>
  <si>
    <t>DEV TEST Rothenburg (CMA Test)</t>
  </si>
  <si>
    <t>M&amp;m-Production</t>
  </si>
  <si>
    <t>MTC Stations SA - Route de Bellegarde 71 - 1284 Chancy - 103281</t>
  </si>
  <si>
    <t>Post Company Cars AG (90074) - Poststrasse 1 - 4317 Wegenstetten - 103911</t>
  </si>
  <si>
    <t>Château-d'Oex 104112</t>
  </si>
  <si>
    <t>Moret - 101863</t>
  </si>
  <si>
    <t>Les Mosses 102453</t>
  </si>
  <si>
    <t>GVS Landi AG - 101723</t>
  </si>
  <si>
    <t>Landi Niesen - 104280</t>
  </si>
  <si>
    <t>LANDI Züri Unterland - 103619</t>
  </si>
  <si>
    <t>Post Company Cars AG (90092) - Langfeldstrasse 110 - 8500 Frauenfeld - 104208</t>
  </si>
  <si>
    <t>Hergol Tankstelle - Luzernstrasse 9A - 6210 Sursee - 104387</t>
  </si>
  <si>
    <t>Post Company Cars SA (90110) - Z. I. Les Gravays - 1310 Daillens - 103957</t>
  </si>
  <si>
    <t>Spiez 104056</t>
  </si>
  <si>
    <t>Stabio Gaggiolo 3 - Via Gaggiolo 46 - 6855 Stabio Gaggiolo 3 - 103824</t>
  </si>
  <si>
    <t>Garage de Peney Diserens SA - 104115</t>
  </si>
  <si>
    <t>Post CH AG, Mobility Solution (90079) - Garage postal - 2322 Le Crêt-du-Locle - 103936</t>
  </si>
  <si>
    <t>Teuffenthal 104120</t>
  </si>
  <si>
    <t>Station-service Combustia - Bazar du Vieux Pays - 101695</t>
  </si>
  <si>
    <t>Auto Bucher - Hinterdorfstrasse 10 - 5644 Auw - 103320</t>
  </si>
  <si>
    <t>Gerzensee 103668</t>
  </si>
  <si>
    <t>Boswil 104034</t>
  </si>
  <si>
    <t>Hergol Tankstellen AG - Seetalstrasse 6 - 5708 Birrwil - 102375</t>
  </si>
  <si>
    <t>Post Company Cars AG (90076) - Postgaragestrasse 1 - 5304 Endingen - 103910</t>
  </si>
  <si>
    <t>Landi Chablais-Lavaux SA - 101711</t>
  </si>
  <si>
    <t>Post Company Cars AG (90033) - Buorna 498 E - 7550 Scuol - 103930</t>
  </si>
  <si>
    <t>Landi Zola AG - 103613</t>
  </si>
  <si>
    <t>Eichen Servicecenter - 103636</t>
  </si>
  <si>
    <t>NC Nautica Caslano SA - Via Torrazza 12 - 6987 Caslano - 102672</t>
  </si>
  <si>
    <t>Hergol Tankstelle AG - Aargauerstrasse 15 - 6294 Ermensee - 101909</t>
  </si>
  <si>
    <t>Landi Moossee - 102500</t>
  </si>
  <si>
    <t>Badertscher Handels und Invest AG - Gewerbestrasse 9 - 8451 Kleinandelfingen - 103710</t>
  </si>
  <si>
    <t>Post Company Cars AG (90051) - Gruberstrasse 5 - 9410 Heiden - 103912</t>
  </si>
  <si>
    <t>Landi Interlaken - 103642</t>
  </si>
  <si>
    <t>Landi Markt Ettiswil - 103483</t>
  </si>
  <si>
    <t>Station-service Combustia -  Garage du Nord - 101685</t>
  </si>
  <si>
    <t>Messe Unity Stuttgart 2022</t>
  </si>
  <si>
    <t>Hinwil 104180</t>
  </si>
  <si>
    <t>Garage Louis Frey - Aarauerstrasse 21 - 5630 Muri AG - 101317</t>
  </si>
  <si>
    <t>Landi Matzingen Genossenschaft - 103972</t>
  </si>
  <si>
    <t>Landi Zola AG - 103705</t>
  </si>
  <si>
    <t>Feneberg Lebensmittel GmbH - Heimenegger Weg 7 - 87719 Mindelheim - 103586</t>
  </si>
  <si>
    <t>Landw. Genossenschaft - Baslerstrasse 12 - 4123 Allschwil - 103038</t>
  </si>
  <si>
    <t>Municipio di Sonogno - 6637 Sonogno - 102759</t>
  </si>
  <si>
    <t>Agrola Tankstelle - 103778</t>
  </si>
  <si>
    <t>EuroShop 2020 PIT - 105003</t>
  </si>
  <si>
    <t>Landi Mittelthurgau - 104085</t>
  </si>
  <si>
    <t>Landi Tannzapfenland - 104061</t>
  </si>
  <si>
    <t>Liniger Tankstelle - Bielstrasse 43 - Aarberg - 101913</t>
  </si>
  <si>
    <t>Rheinmünster (DE) 104138</t>
  </si>
  <si>
    <t>Eduard Waldburger AG - Neudorfstrasse 10 - 7315 Vättis - 102666</t>
  </si>
  <si>
    <t>Hettenschwil 102161</t>
  </si>
  <si>
    <t>Flugplatz A  - Birrfeld- 5242 Birr-Lupfig - 104380</t>
  </si>
  <si>
    <t>Landi Pilatus AG - 104035</t>
  </si>
  <si>
    <t>Mattli AG - Gotthardstrasse 16 - 6484 Wassen UR - 103970</t>
  </si>
  <si>
    <t>migrolino AG (TESTANLAGE) - 103580</t>
  </si>
  <si>
    <t>CMA Testsystem in Rothenburg -</t>
  </si>
  <si>
    <t>LGG HANDELS AG - Waldhof 10 - 8585 Langrickenbach - 102322</t>
  </si>
  <si>
    <t>Lucens 102001</t>
  </si>
  <si>
    <t>Garage du Mouret Purro SA - Route de Fribourg 8 - 1724 Le Mouret - 101653</t>
  </si>
  <si>
    <t>Raststätte Mindeltal - 103714</t>
  </si>
  <si>
    <t>Volg Niederweningen - Alte Poststrasse 2 - 8166 Niederweningen - 103851</t>
  </si>
  <si>
    <t>IQ Johannes Gras - 103207</t>
  </si>
  <si>
    <t>Kirchlindach 103564</t>
  </si>
  <si>
    <t>Home Employee ROD</t>
  </si>
  <si>
    <t>Hochdorf</t>
  </si>
  <si>
    <t>Rickenbach 103991</t>
  </si>
  <si>
    <t>Garage F. Wernli AG - Aarauerstrasse 59 - 5116 Schinznach Bad - 101854</t>
  </si>
  <si>
    <t>LANDI Furt- und Limmattal Genossenschaft - 104050</t>
  </si>
  <si>
    <t>Gioia Combustibili SA - Via San Rocco - 6946 Ponte Capriasca - 102607</t>
  </si>
  <si>
    <t>Hergol Tankstellen AG - Altsagenstrasse 20 - 6048 Horw - 101928</t>
  </si>
  <si>
    <t>Reuss-Garage AG - Landstrasse 73 - 5412 Gebenstorf - 103646</t>
  </si>
  <si>
    <t>Landi Unterwalden AG - 103760</t>
  </si>
  <si>
    <t>Landi Sense-Düdingen - 103971</t>
  </si>
  <si>
    <t>Landi Schüpfheim-Flühli - 101815</t>
  </si>
  <si>
    <t>Agrola Wald - 103720</t>
  </si>
  <si>
    <t>Post Tankstelle - Industriestrasse 5B - 8864 Reichenburg - 104310</t>
  </si>
  <si>
    <t>Logos Payment Solutions AG - Höjdrodergatan 24 - 212 39 Malmö - 104185</t>
  </si>
  <si>
    <t>H. P. Senn AG - 103777</t>
  </si>
  <si>
    <t>Landi Hallwilersee - 103639</t>
  </si>
  <si>
    <t>TANNAIR GmbH - Steigstrasse 4 - 8233 Bargen SH - 104254</t>
  </si>
  <si>
    <t>Garage Carrozzeria Rossi SA - S. Antonio 54A 7745 Li Curt - 103782</t>
  </si>
  <si>
    <t>Rothenburg-BiCA CiRRUS Demo-Lounge 01</t>
  </si>
  <si>
    <t>Post Company Cars AG (90114) - Bot da Sundroina - 7078 Lenzerheide/Lai - 103929</t>
  </si>
  <si>
    <t>LANDI Region Langnau AG - 103496</t>
  </si>
  <si>
    <t>SHINE - Sempacherstrasse 16 - 6003 Luzern - 104281</t>
  </si>
  <si>
    <t>Mönchaltorf 102385</t>
  </si>
  <si>
    <t>Post Company Cars AG (90006) - Platte - 3000 Bern 1 Schanzenpost - 103919</t>
  </si>
  <si>
    <t>Trubschachen 104078</t>
  </si>
  <si>
    <t>Allschwil Testanlage 101499</t>
  </si>
  <si>
    <t>Schüpfen 103567</t>
  </si>
  <si>
    <t>Landi Wila-Turbenthal - 103997</t>
  </si>
  <si>
    <t>Härkingen 102740</t>
  </si>
  <si>
    <t>Agrola Tankstelle - 104301</t>
  </si>
  <si>
    <t>Post Company Cars AG (90095) - Auf der Au 7 - 8825 Hütten - 103962</t>
  </si>
  <si>
    <t>Merenschwand 103522</t>
  </si>
  <si>
    <t>Combustia S. A. - 101681</t>
  </si>
  <si>
    <t>UMATEC - 103604</t>
  </si>
  <si>
    <t>Toffen 103662</t>
  </si>
  <si>
    <t>Menzingen 104088</t>
  </si>
  <si>
    <t>Landi - 104287</t>
  </si>
  <si>
    <t>Gioia Combustibili SA - Via San Gottardo 65 - 6500 Bellinzona - 101738</t>
  </si>
  <si>
    <t>Bern - Coop Genossenschaft - Riedbachstrasse 161 - 3027 Bern - 101415</t>
  </si>
  <si>
    <t>LGG Handels AG - Wilerstrasse 9 - 8514 Amlikon-Bissegg - 103688</t>
  </si>
  <si>
    <t>Azure West Europe</t>
  </si>
  <si>
    <t>Agrola Tankstelle - 102279</t>
  </si>
  <si>
    <t>LANDI WEINLAND Genossenschaft - Güterstrasse 3 - 8460 Marthalen - 103516</t>
  </si>
  <si>
    <t>Tankstelle - 103310</t>
  </si>
  <si>
    <t>LGG Tankstelle - Hauptstrasse 1 - 8506 Lanzenneunforn - 103784</t>
  </si>
  <si>
    <t>Garage Nodèr AG - Hauptstrasse 60 - 7542 Susch - 102482</t>
  </si>
  <si>
    <t>Landi Pilatus AG - 101916</t>
  </si>
  <si>
    <t>Port Intercommunal de Cheyres et Châbles - 102770</t>
  </si>
  <si>
    <t>Bäretswil 103717</t>
  </si>
  <si>
    <t>Landi - 104258</t>
  </si>
  <si>
    <t>Benzindiscount R. Meier AG - Bremgarterstrasse 48 - 5610 Wohlen AG - 101175</t>
  </si>
  <si>
    <t>Agrola Tankstelle - 102427</t>
  </si>
  <si>
    <t>Post Company Cars AG (90030) - Bildaustrasse 20 - 8640 Rapperswil SG - 103939</t>
  </si>
  <si>
    <t>Miniprix Stations SA - Avenue Nestlé 51 - 1800 Vevey 1 - 102275</t>
  </si>
  <si>
    <t>Landi Niesen - 101721</t>
  </si>
  <si>
    <t>Landi BippGäu Thal AG - 103712</t>
  </si>
  <si>
    <t>Landi Hombrechtikon - 104047</t>
  </si>
  <si>
    <t>198-Karlsruhe-QS-Test</t>
  </si>
  <si>
    <t>Grenzshop Martina - Via dal Dazi 241 - 7560 Martina - 103073</t>
  </si>
  <si>
    <t>Landi Region Huttwil AG - 104058</t>
  </si>
  <si>
    <t>Wiggen 102434</t>
  </si>
  <si>
    <t>Halter AG - St. Gallerstrasse 75 - 9500 Wil SG - 103171</t>
  </si>
  <si>
    <t>Gastankstelle - Heuweg 18 - 9490 Vaduz - 101608</t>
  </si>
  <si>
    <t>Gerber Utzigen AG - Spirchen 142 - 3068 Utzigen - 102280</t>
  </si>
  <si>
    <t>Benzindiscount Moser - Wohlenstrasse 8 - 5605 Dottikon - 104329</t>
  </si>
  <si>
    <t>Landi Nottwil-Buttisholz - 104092</t>
  </si>
  <si>
    <t>Garage Yvon Dubuis SA - Rue de St-Germain 3 1965 Savièse - 102241</t>
  </si>
  <si>
    <t>Jothi Import and Export - St. Gallerstrasse 11 - 9300 Wittenbach - 103366</t>
  </si>
  <si>
    <t>Migrol Test LAB 2 / grün - 103210</t>
  </si>
  <si>
    <t>Agrola Thun - 102272</t>
  </si>
  <si>
    <t>Landi Reba AG - 103578</t>
  </si>
  <si>
    <t>Suisse Petroli SA - 103172</t>
  </si>
  <si>
    <t>Post Company Cars SA (90056) - Chemin des Bossons - 1018 Lausanne - 103958</t>
  </si>
  <si>
    <t>Agrola Thun - 104037</t>
  </si>
  <si>
    <t>Brechbühl - Holzmatt 656 M - 3537 Eggiwil - 103763</t>
  </si>
  <si>
    <t>Subingen 103759</t>
  </si>
  <si>
    <t>Heinz Ming - Davous Muntatsch 17 - 7514 Sils/Segl Maria - 104376</t>
  </si>
  <si>
    <t>Kleintalgarage - Kantonsstrasse - 8765 Engi - 102733</t>
  </si>
  <si>
    <t>Rothenburg 103551</t>
  </si>
  <si>
    <t>0021-Barchfeld-Liebensteinerstr.</t>
  </si>
  <si>
    <t>Landi Oberseetal - 101754</t>
  </si>
  <si>
    <t>Agrola Tankstelle - 104291</t>
  </si>
  <si>
    <t>Hergiswil 102237</t>
  </si>
  <si>
    <t>Landi Sursee Triengen - 103554</t>
  </si>
  <si>
    <t>Station-service Combustia - Garage Du Bisse - 101683</t>
  </si>
  <si>
    <t>ken's car services ag - 102804</t>
  </si>
  <si>
    <t>Auto Heldner AG - Kantonsstrasse 331 - 3902 Glis - 102532</t>
  </si>
  <si>
    <t>Pilgramsberg (DE) 103893</t>
  </si>
  <si>
    <t>Landi Unteres Seetal - 101985</t>
  </si>
  <si>
    <t>Hergol Tankstellen AG - Seetalstrasse 159 - 5503 Schafisheim - 103731</t>
  </si>
  <si>
    <t>Landi Aarau-West - 103736</t>
  </si>
  <si>
    <t>Acla da fans AG - Samnaunerstrasse - 7563 Samnaun - 101209</t>
  </si>
  <si>
    <t>Migrol Tankstelle - Sulgerstrasse 41 - 9220 Bischofszell - 103500</t>
  </si>
  <si>
    <t>Post Company Cars AG (90068) - Bahnhofstrasse 31 - 5400 Baden - 103909</t>
  </si>
  <si>
    <t>Uster 103981</t>
  </si>
  <si>
    <t>Landi Sursee - 102471</t>
  </si>
  <si>
    <t>Post Company Cars AG (90125) - Wuhrstrasse 25 - 9490 Vaduz - 103968</t>
  </si>
  <si>
    <t>Hergol Tankstellen AG - Ebikonerstrasse 73 - 6043 Adligenswil - 102012</t>
  </si>
  <si>
    <t>Hagenbuch 104071</t>
  </si>
  <si>
    <t>Migrol Service - Grenzstrasse 31 - 9430 St. Margrethen SG - 103364</t>
  </si>
  <si>
    <t>Tankstelle Hasenbrunnen AG - 103135</t>
  </si>
  <si>
    <t>Landi Buchberg-Rüdlingen - 104113</t>
  </si>
  <si>
    <t>Traveco Transporte AG - 104108</t>
  </si>
  <si>
    <t>CMA-Production-Pilot</t>
  </si>
  <si>
    <t>Gümmenen 104097</t>
  </si>
  <si>
    <t>Hasle bei Burgdorf 104128</t>
  </si>
  <si>
    <t>Reiden 103979</t>
  </si>
  <si>
    <t>ecoTank  AG - Bretzwilerstr. 21 - 4206 Seewen SO - 103795</t>
  </si>
  <si>
    <t>Orbe 103756</t>
  </si>
  <si>
    <t>Landi Albis - 101750</t>
  </si>
  <si>
    <t>degen autotechnik ag - Hauptstrasse 39 - 4853 Murgenthal - 101937</t>
  </si>
  <si>
    <t>Hartmann Werkhof - Via la Val 7 - 7013 Domat/Ems - 573</t>
  </si>
  <si>
    <t>Garage Hyundai - Via Cantonale 156 - 6537 Grono - 101183</t>
  </si>
  <si>
    <t>Badertscher Handels und Invest AG - Diessenhofenstrasse 38 - 8466 Trüllikon - 104014</t>
  </si>
  <si>
    <t>migrol Schmerikon SBB Fresh &amp; Smart GmbH - Bahnhofstrasse 2 - 8716 Schmerikon - 103304</t>
  </si>
  <si>
    <t>Hürlimann + Co. - Hauptstrasse 68 - 5113 Holderbank - 102134</t>
  </si>
  <si>
    <t>Landi Weinland Waschen - Güterstrasse 3 - 8460 Marthalen - 104083</t>
  </si>
  <si>
    <t>Auto Leisibach AG - Luzernerstrasse 11 - 6284 Gelfingen - 102155</t>
  </si>
  <si>
    <t>Landi Bucheggberg-Landshut - 103519</t>
  </si>
  <si>
    <t>Migrol Tankstelle - Rugenparkstrasse 34 - 3800 Interlaken - 103547</t>
  </si>
  <si>
    <t>Wenk AG - Ebni 584 - 9044 Wald -  575</t>
  </si>
  <si>
    <t>Pambio-Noranco 104144</t>
  </si>
  <si>
    <t>Post Company Cars AG (90047) - Postautostation - 3906 Saas Fee - 103954</t>
  </si>
  <si>
    <t>Ebikon 101318</t>
  </si>
  <si>
    <t>AGROLA Vauderens - 103466</t>
  </si>
  <si>
    <t>Garage Mistral GmbH - Hauptstrasse 5 - 3422 Kirchberg BE - 102362</t>
  </si>
  <si>
    <t>Landi KOWY - 102163</t>
  </si>
  <si>
    <t>Agrola Tankstelle - 101082</t>
  </si>
  <si>
    <t>Landi - Frei Touring Garage GmbH - 102365</t>
  </si>
  <si>
    <t>LANDI REBA AG - 101101</t>
  </si>
  <si>
    <t>Hergol Tankstellen AG - Tankstelle Stansstad - 6362 Stansstad - 102571</t>
  </si>
  <si>
    <t>LANDI Pilatus AG - 103530</t>
  </si>
  <si>
    <t>Bercher 104017</t>
  </si>
  <si>
    <t>Zofingen 104000</t>
  </si>
  <si>
    <t>LANDI Mittelthurgau Genossenschaft - 103595</t>
  </si>
  <si>
    <t>BASF Schweiz AG - Hardmatt 434 - 5082 Kaisten - 102384</t>
  </si>
  <si>
    <t>Post Company Cars AG (90069) - Schorenweg 10 - 4144 Arlesheim - 103913</t>
  </si>
  <si>
    <t>Lützelflüh 102367</t>
  </si>
  <si>
    <t>Echallens 104099</t>
  </si>
  <si>
    <t>BiCA Demo #3 UnitiExpo</t>
  </si>
  <si>
    <t>Würenlingen 104045</t>
  </si>
  <si>
    <t>Fischer Road Cargo AG - Grindelstrasse 50 - 8303 Bassersdorf - 103264</t>
  </si>
  <si>
    <t>Grolley 103708</t>
  </si>
  <si>
    <t>Feneberg Lebensmittel GmbH - Dr.-Karl-Lenz Strasse 4 - 87700 Memmingen - 103585</t>
  </si>
  <si>
    <t>Hergol Tankstelle - Hauptstrasse 2 - 6034 Inwil - 104340</t>
  </si>
  <si>
    <t>Ruckstuhl Transport - Picardstrasse 13 - 9015 St. Gallen - 577</t>
  </si>
  <si>
    <t>Waldburger AG - Brüggershofstrasse 5 - 9424 Rheineck - 102990</t>
  </si>
  <si>
    <t>Gebrüder Keller - Rütelerstrasse 6 - 8810 Horgen - 101987</t>
  </si>
  <si>
    <t>Agrola TS mit Shop - 104277</t>
  </si>
  <si>
    <t>migrolino mio Birmensdorf SBB - Zürcherstrasse 53 - 8903 Birmensdorf - 104488</t>
  </si>
  <si>
    <t>Terzol Tankstelle - 102213</t>
  </si>
  <si>
    <t>Migrol Service Säntispark - Wiesenbachstrasse 3 - 9030 Abtwil SG - 103323</t>
  </si>
  <si>
    <t>LGG HANDELS AG - Bischofszellerstrasse 61 - 9202 Gossau - 104075</t>
  </si>
  <si>
    <t>TMS Automobile GmbH - 104145</t>
  </si>
  <si>
    <t>Testsystem 3x Win10 - 110666</t>
  </si>
  <si>
    <t>Agrola Tankstellen - 103713</t>
  </si>
  <si>
    <t>Malters 101176</t>
  </si>
  <si>
    <t>Post Company Cars AG (90031) - Ducanstrasse 6 - 7270 Davos Platz - 103928</t>
  </si>
  <si>
    <t>Landi Oberseetal - 103678</t>
  </si>
  <si>
    <t>Illnau 103610</t>
  </si>
  <si>
    <t>Landi Frila - Gerenweg 4- 5073 Gipf-Oberfrick - 101301</t>
  </si>
  <si>
    <t>LANDI Buchrain - 103900</t>
  </si>
  <si>
    <t>Landi Aarau-West - 103735</t>
  </si>
  <si>
    <t>Landi Markt AG Buttisholz - 104143</t>
  </si>
  <si>
    <t>Fahrzeug Center Goms AG - Furkastrasse 35b - 3998 Gluringen - 104264</t>
  </si>
  <si>
    <t>Landi Kleindietwil-Madiswil - 103563</t>
  </si>
  <si>
    <t>Wangen a. Aare 101114</t>
  </si>
  <si>
    <t>Eredi Fu Lanzi Franco - Strada Vecchia 127 - 6675 Cevio - 102709</t>
  </si>
  <si>
    <t>Auto AG Schwyz -Gotthardstrasse 10 - 6438 Ibach - 571</t>
  </si>
  <si>
    <t>Landi Markt AG Sursee - 103555</t>
  </si>
  <si>
    <t>Landi  Bolligen - 101843</t>
  </si>
  <si>
    <t>Landi Hallwilersee - 103728</t>
  </si>
  <si>
    <t>Station-service Combustia - Carrosserie de la Vallée - 101687</t>
  </si>
  <si>
    <t>Landw. Genossenschaft - Murgtalstrasse 1 - 8877 Murg - 102793</t>
  </si>
  <si>
    <t>ECSA Energy SA - Rondina Via Cavagno - 6997 Sessa - 104323</t>
  </si>
  <si>
    <t>Emmenbrücke 103694</t>
  </si>
  <si>
    <t>Schlatt 103748</t>
  </si>
  <si>
    <t>LANDI Frila - 103545</t>
  </si>
  <si>
    <t>Hergol Tankstelle - Limmattalstrasse 65 - 8954 Geroldswil - 104374</t>
  </si>
  <si>
    <t>Station-service Combustia - Garage Rey - 101700</t>
  </si>
  <si>
    <t>Feneberg Lebensmittel GmbH - Ahornweg 1 - 87448 Waltenhofen - 103587</t>
  </si>
  <si>
    <t>Heiden 103275</t>
  </si>
  <si>
    <t>Huwag Nutzfahrzeuge AG - 103062</t>
  </si>
  <si>
    <t>LANDI Melchnau-Bützberg - 102360</t>
  </si>
  <si>
    <t>Diessenhofen 103469</t>
  </si>
  <si>
    <t>Wasen i.E 101030</t>
  </si>
  <si>
    <t>Migrol Service Hauptstrasse 2 - 9422 Staad SG - 103493</t>
  </si>
  <si>
    <t>Dotzigen 104053</t>
  </si>
  <si>
    <t>Station-service Combustia - Garage Eddy Bérard - 101690</t>
  </si>
  <si>
    <t>Migrol Service - Rue Baptiste-Savoye 16 - 2610 St-Imier - 102130</t>
  </si>
  <si>
    <t>Centralgarage Sursee AG - 104002</t>
  </si>
  <si>
    <t>Garage de Carignan - 104049</t>
  </si>
  <si>
    <t>Wiedlisbach 101772</t>
  </si>
  <si>
    <t>Migrol Tankstelle Brazoil AG - Ringstrasse 20  -7000 Chur - 102095</t>
  </si>
  <si>
    <t>Tankstellenshop EKZ Porta Samedan - Cho d'Punt - 7503 Samedan - 104320</t>
  </si>
  <si>
    <t>Businesspartner:socar</t>
  </si>
  <si>
    <t>Hinterwiesli-Garage - 103986</t>
  </si>
  <si>
    <t>Münchenbuchsee 103565</t>
  </si>
  <si>
    <t>Eschlikon 104060</t>
  </si>
  <si>
    <t>alt_Estavayer-le-Lac 103699</t>
  </si>
  <si>
    <t>Höri 102324</t>
  </si>
  <si>
    <t>Pontenet 103773</t>
  </si>
  <si>
    <t>Agrola Tankstelle - 104064</t>
  </si>
  <si>
    <t>Gloggner AG - Dorfstrasse 51 - 6035 Perlen - 103041</t>
  </si>
  <si>
    <t>Landi Hallwilersee - 103637</t>
  </si>
  <si>
    <t>Agrola Tankstelle - 104001</t>
  </si>
  <si>
    <t>Hellbühl 103421</t>
  </si>
  <si>
    <t>0000-Default Standort-Erik Walther</t>
  </si>
  <si>
    <t>Migrol Tankstelle Brazoil AG - Barblanstrasse 30 - 7000 Chur - 103485</t>
  </si>
  <si>
    <t>Landi Arc Jura SA - 103690</t>
  </si>
  <si>
    <t>Landi Freiamt Agrola Shop - 103523</t>
  </si>
  <si>
    <t>Tankstelle Hägglingen - 102159</t>
  </si>
  <si>
    <t>Reichenburg 101672</t>
  </si>
  <si>
    <t>Schönegg-Garage AG - Oberlandstrasse 54 - 3700 Spiez - 101955</t>
  </si>
  <si>
    <t>M&amp;m-Production-Pilot</t>
  </si>
  <si>
    <t>LANDI Furt- und Limmattal - 104126</t>
  </si>
  <si>
    <t>Gross Garage Horw AG - Kantonsstrasse 23 - 6048 Horw - 103685</t>
  </si>
  <si>
    <t>Green Managed Layer</t>
  </si>
  <si>
    <t>Green Managed Network Rothenburg</t>
  </si>
  <si>
    <t>Migrol Tankstelle - Isenrietstrasse 15 - 8617 Mönchaltorf - 103426</t>
  </si>
  <si>
    <t>Garage W. Pianezze - Hauptstrasse 179 - 4466 Ormalingen - 104372</t>
  </si>
  <si>
    <t>Garage de Gryon - Chemin du Carroz 1 - 1882 Gryon - 102679</t>
  </si>
  <si>
    <t>Raimondi Giorgio jun. SA - Lungolago Roncaioli 6 - 6827 Brusino Arsizio - 101252</t>
  </si>
  <si>
    <t>Landi Jungfrau - 103643</t>
  </si>
  <si>
    <t>Kiesen 103669</t>
  </si>
  <si>
    <t>Umiken 102701</t>
  </si>
  <si>
    <t>Implenia Schweiz AG - Felsenaustrasse 25 - 7004 Chur - 103025</t>
  </si>
  <si>
    <t>Agrola Tankstelle - 102757</t>
  </si>
  <si>
    <t>Bözen 101724</t>
  </si>
  <si>
    <t>Landi Region Huttwil AG - 102462</t>
  </si>
  <si>
    <t>Parktankstelle Niederlenz SHELL - Lenzburgerstrasse - 5702 Niederlenz - 104342</t>
  </si>
  <si>
    <t>LGG HANDELS AG - Kreuzlingerstrasse 22 - 8590 Romanshorn - 103113</t>
  </si>
  <si>
    <t>Shell Tankstelle - Vorarlbergerstrasse 1 - 9486 Schaanwald - 104190</t>
  </si>
  <si>
    <t>Post Company Cars AG (90117) - Gaswerkstrasse 6 - 8952 Schlieren - 103963</t>
  </si>
  <si>
    <t>Satigny 103683</t>
  </si>
  <si>
    <t>LGG HANDELS AG Station - Bergstrasse 7 - 8280 Kreuzlingen - 103464</t>
  </si>
  <si>
    <t>Landi Tannzapfenland - 104059</t>
  </si>
  <si>
    <t>Landi Jungfrau AG - 104269</t>
  </si>
  <si>
    <t>IPG Technik GmbH - Schörisaustrasse 6 - 9463 Oberriet - 574</t>
  </si>
  <si>
    <t>Rümlang 102774</t>
  </si>
  <si>
    <t>Autowaschcenter SuPo GmbH - Industriestrasse 11 - 5015 Erlinsbach SO - 103994</t>
  </si>
  <si>
    <t>Maur 103725</t>
  </si>
  <si>
    <t>LANDI Sarine SA - 103450</t>
  </si>
  <si>
    <t>Perroy  104039</t>
  </si>
  <si>
    <t>Scall GmbH - Witikonerstrasse 311 - 8053 Zürich - 103601</t>
  </si>
  <si>
    <t>Meinrad Helbling AG - Bootswerft - 8716 Schmerikon - 102486</t>
  </si>
  <si>
    <t>Lengenfeld (DE) 103379</t>
  </si>
  <si>
    <t>Pfaffnau 104042</t>
  </si>
  <si>
    <t>Sünikon 101113</t>
  </si>
  <si>
    <t>Wil ZH 103617</t>
  </si>
  <si>
    <t>Koppigen 103620</t>
  </si>
  <si>
    <t>Seon 104016</t>
  </si>
  <si>
    <t>Freie Tankstelle - Bundesstrasse 14 - 77855 Achern-Fautenbach - 103495</t>
  </si>
  <si>
    <t>BiCA Demo #4 UnitiExpo</t>
  </si>
  <si>
    <t>Autohaus Kern - Brückenhäuser Strasse 23 - 77723 Gengenbach - 103217</t>
  </si>
  <si>
    <t>Lausanne 101321</t>
  </si>
  <si>
    <t>Post Company Cars AG (90032) - Hubstrasse 18 - 9500 Wil SG - 103941</t>
  </si>
  <si>
    <t>Garage Susten AG - Kantonsstrasse 12 - 3952 Susten - 101058</t>
  </si>
  <si>
    <t>Landi Moléson SA - 103772</t>
  </si>
  <si>
    <t>Villigen 104032</t>
  </si>
  <si>
    <t>Rheingarage Jäger AG - Untere Industrie 2 - 7304 Maienfeld - 101235</t>
  </si>
  <si>
    <t>Wiesendangen 104069</t>
  </si>
  <si>
    <t>Oberbalm 103533</t>
  </si>
  <si>
    <t>Kirchberg 101925</t>
  </si>
  <si>
    <t>0077-Rödental</t>
  </si>
  <si>
    <t>Feuerwehrstützpunkt Forsthaus West - Murtenstrasse 98 /98 A 3008 Bern - 104021</t>
  </si>
  <si>
    <t>Saxon 104093</t>
  </si>
  <si>
    <t>Shell Tankstelle - Länggassstrasse 85 3012 Bern - 104178</t>
  </si>
  <si>
    <t>Migrol Servizio Crocifisso Aldo Bernasconi Sagl - Via San Gorrardo 131 - 6942 Savosa - 103380</t>
  </si>
  <si>
    <t>Steffisburg 104133</t>
  </si>
  <si>
    <t>Shell Tankstelle / Shop - Via Ferrera 106 - 6612 Ascona - 104191</t>
  </si>
  <si>
    <t>Socar Tankstelle - Bahnhofstrasse 7 - 8353 Elgg - 103582</t>
  </si>
  <si>
    <t>Service de la Voirie -  Rue de Billodes 52 - 2400 Le Locle - 103033</t>
  </si>
  <si>
    <t>Station-service Combustia - Parking les Grangettes - 101702</t>
  </si>
  <si>
    <t>Dägerlen 103749</t>
  </si>
  <si>
    <t>Schönenberg 103077</t>
  </si>
  <si>
    <t>Landi Moossee - 103541</t>
  </si>
  <si>
    <t>Scall Tankstelle - Sonneggstrasse 42 / 44 - 8006 Zürich - 103761</t>
  </si>
  <si>
    <t>Delbosco Michele Angelo - Via Vergiò 18 - 6932 Breganzona - 102148</t>
  </si>
  <si>
    <t>Scall Tankstelle - Bielstrasse 35 - 3250 Lyss - 103497</t>
  </si>
  <si>
    <t>Seebad-Garage AG - Seestrasse 269 - 8706 Feldmeilen - 102289</t>
  </si>
  <si>
    <t>Gemeindeverwaltung - Werkhof - 8702 Zollikon - 104244</t>
  </si>
  <si>
    <t>H+R Müller-Albiez - General-Guisanstrasse 15 - Grippingen - 101635</t>
  </si>
  <si>
    <t>LANDI Oberrheintal - LAVEBA Shop - Oberrieterstrasse 87 - Altstätten SG - 103706</t>
  </si>
  <si>
    <t>LGG HANDELS AG - Hauptstrasse 35 - 8594 Güttingen - 101223</t>
  </si>
  <si>
    <t>Karlsruhe (DE) 103186</t>
  </si>
  <si>
    <t>Agrola Tankstelle - 104168</t>
  </si>
  <si>
    <t>Garage Mutschellen AG - Bernstrasse 4 - 8965 Berikon - 103771</t>
  </si>
  <si>
    <t>Station-service Combustia - Garage de Muraz - 101679</t>
  </si>
  <si>
    <t>Acla da fans AG - Samnaunerstrasse - 7563 Samnaun - 101208</t>
  </si>
  <si>
    <t>Garage de la Molière SA - Chemin des Marais 8 - 1470 Estavayer-le-Lac - 102813</t>
  </si>
  <si>
    <t>Tankstelle Swoboda - 103311</t>
  </si>
  <si>
    <t>Vögtlin Meyer - Gfenn - 8600 Dübendorf - 103724</t>
  </si>
  <si>
    <t>M. Toutah - 102215</t>
  </si>
  <si>
    <t>Agrola Steg - 103719</t>
  </si>
  <si>
    <t>Landi Reba AG - 103521</t>
  </si>
  <si>
    <t>Zug 103550</t>
  </si>
  <si>
    <t>Garage Meisel AG - Hauptstrasse 47 - 5316 Leuggern - 102481</t>
  </si>
  <si>
    <t>Agrola - Garage Jurt + Co. - 104125</t>
  </si>
  <si>
    <t>Nyon 101322</t>
  </si>
  <si>
    <t>Port Company Cars AG (90108) - Crêt Merlin 77 - 2518 Nods - 103922</t>
  </si>
  <si>
    <t>Hergol Tankstellen AG - Chaltenbodenstrasse 6 A-F - 8834 Schindellegi - 104405</t>
  </si>
  <si>
    <t>Suisse Petroli SA -  Via al Confine 18 - 6827 Brusino Arsizio - 104339</t>
  </si>
  <si>
    <t>Rigoni &amp; Co. - 102447</t>
  </si>
  <si>
    <t>Touring-Garage &amp; Carrosserie AG - Corneliastrasse 10 - 8965 Berikon - 103901</t>
  </si>
  <si>
    <t>Hergol Tankstelle - Hauptstrasse 56 - 6182 Escholzmatt - 104341</t>
  </si>
  <si>
    <t>TRAVECO Transporte AG - 103527</t>
  </si>
  <si>
    <t>Coop station  - Route de Roussens 102 - 1726 Farvagny - 104500</t>
  </si>
  <si>
    <t>Mikrotik DEV Site - ROD</t>
  </si>
  <si>
    <t>Tankstelle Schäffingen - 102743</t>
  </si>
  <si>
    <t>Schattdorf 103794</t>
  </si>
  <si>
    <t>UMATEC - 103699</t>
  </si>
  <si>
    <t>LENZLINGER</t>
  </si>
  <si>
    <t>Lenzlinger Söhne AG - Grossrietstrasse 7 - 8606 Nänikon - 102670</t>
  </si>
  <si>
    <t>Coop Pronto Shop - Rue industrielle 94 - 2740 Moutier - 104493</t>
  </si>
  <si>
    <t>migrolino Emmen Seetalplatz - Bahnhofplatz  1 b - 6020 Emmen - 104499</t>
  </si>
  <si>
    <t>Landi Wetzikon-Seegräben - 104081</t>
  </si>
  <si>
    <t>Landi Zimmerberg - 103076</t>
  </si>
  <si>
    <t>Reitnau 104005</t>
  </si>
  <si>
    <t>Neuenegg 104100</t>
  </si>
  <si>
    <t>Station-service Combustia - Garage St-Christophe - 101684</t>
  </si>
  <si>
    <t>Wynigen 103684</t>
  </si>
  <si>
    <t>Zweisimmen 102476</t>
  </si>
  <si>
    <t>Default</t>
  </si>
  <si>
    <t>Hergol Tankstellen AG - Breitenstrasse 1 - 6403 Küssnacht am Rigi - 104031</t>
  </si>
  <si>
    <t>Landw. Konsumgen. Lufingen - 104090</t>
  </si>
  <si>
    <t>Romont  104076</t>
  </si>
  <si>
    <t>Landi Broye-Vully SA - 104198</t>
  </si>
  <si>
    <t>Landi Frila - 103544</t>
  </si>
  <si>
    <t>Ossingen 103518</t>
  </si>
  <si>
    <t>Migrol Tankstelle - Kantonsstrasse 2 - 3902 Glis - 103390</t>
  </si>
  <si>
    <t>SRS Swiss Recycling Services AG - Stauwehrstrasse 40 - 5012 Schönenwerd - 102968</t>
  </si>
  <si>
    <t>Sigriswil 104121</t>
  </si>
  <si>
    <t>LANDI Seeland AG, Landi Laden - 103472</t>
  </si>
  <si>
    <t>Suisse Petroli SA -  Via Cantinetta 16 - 6853 Ligornetto - 104338</t>
  </si>
  <si>
    <t>Vicianum Petrolium GmbH - Pra Rond 6 - 1785 Cressier FR - 101941</t>
  </si>
  <si>
    <t>Employee.BUJ</t>
  </si>
  <si>
    <t>Imbach Getränke + Brennstoffe AG - Oberebenestrasse 15 - 5620 Bremgarten AG - 102328</t>
  </si>
  <si>
    <t>Leutenegger Tankstelle - Steinerstrasse 32 - 8253 Diessenhofen - 104384</t>
  </si>
  <si>
    <t>Aerni AG  Automobile(301 920) - 102378</t>
  </si>
  <si>
    <t>Murten 104311</t>
  </si>
  <si>
    <t>Petromove AG - Hauptstrasse 21 - 4455 Zunzgen - 103796</t>
  </si>
  <si>
    <t>Landi Luzern-West - 104040</t>
  </si>
  <si>
    <t>Agrola Tankstelle - 102356</t>
  </si>
  <si>
    <t>Landi Oberseetal - 103897</t>
  </si>
  <si>
    <t>Menzingen 103548</t>
  </si>
  <si>
    <t>Oberstocken 104122</t>
  </si>
  <si>
    <t>ECSA Energy SA - Viale C. Olgiati 26 - 6512 Giubiasco - 102278</t>
  </si>
  <si>
    <t>Landi Linth Genossenschaft - Schulhausstrasse 21 - 8722 Kaltbrunn - 102311</t>
  </si>
  <si>
    <t>NAC (Port Security) By LAVEBA</t>
  </si>
  <si>
    <t>Schnider AG - Breitschachenstrasse 57 - 9032 Engelburg - 465</t>
  </si>
  <si>
    <t>Fam. Lantzerath - Kastanienbaum</t>
  </si>
  <si>
    <t>Kastanienbaum</t>
  </si>
  <si>
    <t>M&amp;m-Test</t>
  </si>
  <si>
    <t>Rotkreuz 101652</t>
  </si>
  <si>
    <t>Righetti Combustibili SA - 104013</t>
  </si>
  <si>
    <t>Hergol Tankstellen AG - Engelbergstrasse 48 - 6370 Stans - 101908</t>
  </si>
  <si>
    <t>Post Tankstelle - Via Santeri 20 - Ilanz - 104345</t>
  </si>
  <si>
    <t>Post Tankstelle - Rue de la gare 17 - Saignelégier - 104346</t>
  </si>
  <si>
    <t>Post Tankstelle - Route du Levant 124 - 1920 Martigny - 104347</t>
  </si>
  <si>
    <t>Garage Näpflin - Hinterhostattstrasse 7 - 6376 Emmetten - 104229</t>
  </si>
  <si>
    <t>BiRS to CiRRUS Migration Site REUSS</t>
  </si>
  <si>
    <t>Agrola Tankstelle - Wilerstrasse 31 - 9536 Schwarzenbach SG - 104025</t>
  </si>
  <si>
    <t>Burgdorf 103520</t>
  </si>
  <si>
    <t>Post Company Cars SA (90109) - Village 215b - 2406 La Brévine - 103937</t>
  </si>
  <si>
    <t>Migrol Tankstelle - Bleienbachstrasse 54 - 4900 Langenthal - 103425</t>
  </si>
  <si>
    <t>Landi Reso - 104084</t>
  </si>
  <si>
    <t>Henggart 103750</t>
  </si>
  <si>
    <t>LANDI Wetzikon-Seegräben (SHOP) - 104080</t>
  </si>
  <si>
    <t>Rothenburg-BiCA Beta QS-CiRRUS Full</t>
  </si>
  <si>
    <t>Elektrotech Grab Albert - Hauptstrasse 10 - 6418 Rothenthurm - 104296</t>
  </si>
  <si>
    <t>Gersau 103532</t>
  </si>
  <si>
    <t>Post Company Cars SA (90086) - Via della Posta 29 - 6600 Locarno - 103947</t>
  </si>
  <si>
    <t>Oechslin AG - Birchli 3 - 8840 Einsiedeln - 101835</t>
  </si>
  <si>
    <t>Post Company Cars SA (90085) - Remise des cars postaux - 1410 Thierrens - 103959</t>
  </si>
  <si>
    <t>Azure Switzerland North</t>
  </si>
  <si>
    <t>Post Company Cars SA (90064) - Viale Stefano Franscini 30 - 6500 Bellinzona - 103945</t>
  </si>
  <si>
    <t>Shell Tankstelle - Limmattalstrasse 65 - 8954 Geroldswil - 101994</t>
  </si>
  <si>
    <t>Migrol Tankstelle Ausee Garage AG - Riedhofstrasse 2 - 8804 Au ZH - 103461</t>
  </si>
  <si>
    <t>Stabio Gaggiolo 2 - Via Gaggiolo 42 - 6855 Stabio Gaggiolo 2 - 103825</t>
  </si>
  <si>
    <t>Entlebuch 101710</t>
  </si>
  <si>
    <t>ecoTank AG - Hauptstrasse 31 - 4417 Ziefen - 103626</t>
  </si>
  <si>
    <t>Post Company Cars SA (90060) - Via Balestra - 6905 Lugano 5 - 103948</t>
  </si>
  <si>
    <t>Autoronchetti Sagl - Via San Gattardo 12 - 6877 Coldrerio - 102704</t>
  </si>
  <si>
    <t>Rüeggisberg 101712</t>
  </si>
  <si>
    <t>Landi Furt- und Limmattal - 101656</t>
  </si>
  <si>
    <t>Post Company Cars SA (90049) - Chemin de Chandolan 6 - 1752 Villars-sur-Glâne - 103925</t>
  </si>
  <si>
    <t>Station-service Combustia - 101696</t>
  </si>
  <si>
    <t>Post Company Cars SA (90044) - Rue de la piscine 10 - 1950 Sion - 103955</t>
  </si>
  <si>
    <t>Mandach 104249</t>
  </si>
  <si>
    <t>Post Company Cars AG (90070) - Gartenstrasse 143 - 4052 Basel - 103916</t>
  </si>
  <si>
    <t>Post Company Cars AG (90130) - Gewerbepark Bata 7 - 4313 Möhlin - 104196</t>
  </si>
  <si>
    <t>Post Company Cars AG (90126) - Rubigenstrasse 19 - 3076 Worb - 103924</t>
  </si>
  <si>
    <t>Post Company Cars AG (90124) - Alleestrasse 26 - 3703 Aeschi b. Spiez - 103918</t>
  </si>
  <si>
    <t>Post Company Cars AG (90115) - Im Moos 18 - 3800 Interlaken - 103920</t>
  </si>
  <si>
    <t>Landi UWA - 103665</t>
  </si>
  <si>
    <t>Post Company Cars AG (90112) - Paketzentrum - 4620 Härkingen - 103944</t>
  </si>
  <si>
    <t>Post Company Cars AG (90094) - Rifferswilerstrasse 7a - 8915 Hausen am Albis - 103961</t>
  </si>
  <si>
    <t>Post Company Cars AG (90089) - Zürcherstrasse 296 - 8500 Frauenfeld - 103950</t>
  </si>
  <si>
    <t>Landi Reba AG - Güterstrasse 33 - 4242 Laufen - 104270</t>
  </si>
  <si>
    <t>Post Company Cars AG (90087) - Seebnerstrasse 2 - 8185 Winkel b. Bülach - 103964</t>
  </si>
  <si>
    <t>Post Company Cars AG (90081) - Lippermattstrasse 12 - 4710 Balsthal - 103943</t>
  </si>
  <si>
    <t>Post Company Cars AG (90078) - Stöckackerstrasse 50 - 3030 Bern - 103904</t>
  </si>
  <si>
    <t>Seuzach 104003</t>
  </si>
  <si>
    <t>Post Company Cars AG (90046) - Herrenau - 9650 Nesslau - 103938</t>
  </si>
  <si>
    <t>Landi Messen - 101623</t>
  </si>
  <si>
    <t>Socar Tankstelle - Reuss-Garage Ernst Rütter AG - 6038 Gisikon - 103783</t>
  </si>
  <si>
    <t>Landi Zola AG - 103609</t>
  </si>
  <si>
    <t>Landi Frila - 103689</t>
  </si>
  <si>
    <t>Station Mini Prix/Shop - Rue de la Gare 2 - 1373 Chavornay - 103199</t>
  </si>
  <si>
    <t>Piccadilly SA (2021) - Via del Breggia 13 - 6833 Vacallo-Pizzamiglio - 103799</t>
  </si>
  <si>
    <t>Landi Reso - 104082</t>
  </si>
  <si>
    <t>Tankstelle Svabic - Zugerstrasse 251 - 8810 Horgen - 103657</t>
  </si>
  <si>
    <t>Electrosuisse System 2 - 105002</t>
  </si>
  <si>
    <t>Post Company Cars AG (90042) - Spitalstrasse 4 - 3860 Meiringen - 103921</t>
  </si>
  <si>
    <t>Migrol Tankstelle Kopf Garage - Zürcherstrasse 23 - 8903 Birmensdorf ZH - 103457</t>
  </si>
  <si>
    <t>Renens Gare 101486</t>
  </si>
  <si>
    <t>Wolhusen102495</t>
  </si>
  <si>
    <t>BiCA Hardware Templates</t>
  </si>
  <si>
    <t>OPT</t>
  </si>
  <si>
    <t>Post Company Cars AG (90039) - Tössfeldstrasse 35 - 8401 Winterthur - 103965</t>
  </si>
  <si>
    <t>Auto AG Schwyz - Werkstrasse 11 - 6403 Küssnacht am Rigi - 572</t>
  </si>
  <si>
    <t>Norépièces Sàrl - Route de la Caséïne 3 - 1522 Lucens - 101947</t>
  </si>
  <si>
    <t>Landi Sursee - 102472</t>
  </si>
  <si>
    <t>Landi Röthenbach - 104094</t>
  </si>
  <si>
    <t>Zell LU 104271</t>
  </si>
  <si>
    <t>Liebefeld 101820</t>
  </si>
  <si>
    <t>Post Company Cars AG (90038) - Bahnhofplatz - 7430 Thusis - 103932</t>
  </si>
  <si>
    <t>Lüscher Garage AG - 5037 Muhen - 103896</t>
  </si>
  <si>
    <t>Dürnten 103716</t>
  </si>
  <si>
    <t>Landi Oberseetal, Genosschenschaft - 102412</t>
  </si>
  <si>
    <t>Safenwil 102741</t>
  </si>
  <si>
    <t>Station-service Combustia - 101698</t>
  </si>
  <si>
    <t>Model:PiT</t>
  </si>
  <si>
    <t>Station service Waldburger Eduard SA - Route de Morat 132 - 1763 Granges-Paccot - 103322</t>
  </si>
  <si>
    <t>Top Shop - 104312</t>
  </si>
  <si>
    <t>Post CH AG, Mobility Solution - Via General Guisan - 6962 Viganello 103949</t>
  </si>
  <si>
    <t>ecoTank AG - Hauptstrasse 42 - 4207 Bretzwil - 103869</t>
  </si>
  <si>
    <t>Rüegsau 102692</t>
  </si>
  <si>
    <t>Suisse Petroli SA - Via Locarno 50 - 6514 Sementina - 104325</t>
  </si>
  <si>
    <t>Agrola Tankstelle - 102516</t>
  </si>
  <si>
    <t>Shell Tellenburg - Lötschbergstrasse 6 - 3714 Frutigen - 102515</t>
  </si>
  <si>
    <t>GS Landtechnik - 103674</t>
  </si>
  <si>
    <t>Wattenwil 104027</t>
  </si>
  <si>
    <t>ENI gooods Contone - Via Cantonale 2- 6594 Gambarogno - 104496</t>
  </si>
  <si>
    <t>Landi Reso Grenchen - 103470</t>
  </si>
  <si>
    <t>Station-service Combustia - Garage Lotus - 101669</t>
  </si>
  <si>
    <t>Tankstelle Hundwil - Wies-Dorf 67 - 9064 Hundwil - 101989</t>
  </si>
  <si>
    <t>BOS Bus Ostschweiz AG - Schöntlstrasse 1 - 9450 Altstätten - 579</t>
  </si>
  <si>
    <t>Post Company Cars AG (90037) - Thomann Nutzfahrzeug AG - Oberalpstrasses 10 - 7000 Chur</t>
  </si>
  <si>
    <t>LANDI Zugerland Baar - 103549</t>
  </si>
  <si>
    <t>Tankstelle Madiswil - 101935</t>
  </si>
  <si>
    <t>Winkel 104044</t>
  </si>
  <si>
    <t>Migrol Tankstelle Ausee Garage AG / Betrieb Thalwil - Seestrasse 17 - 8800 Thalwil - 103460</t>
  </si>
  <si>
    <t>Oel Pool AG AG - Hauptstrasse 30 - 6286 Altwis - 101870</t>
  </si>
  <si>
    <t>Migrol Tankstelle - Bahnhofstrasse 13 - 6030 Ebikon - 104495</t>
  </si>
  <si>
    <t>Hergol Tankstelle - Luzernerstrasse 26 - 6045 Meggen - 104343</t>
  </si>
  <si>
    <t>Wohlen bei Bern 104062</t>
  </si>
  <si>
    <t>migrolino Zürich Oerlikon SBB - Hofwieenstrase 369 - 8050 Zürich - 104494</t>
  </si>
  <si>
    <t>Vitznau 102719</t>
  </si>
  <si>
    <t>Delemont LKW 104066</t>
  </si>
  <si>
    <t>Steinhausen 103693</t>
  </si>
  <si>
    <t>Rothenburg-Migrol Test (C1)</t>
  </si>
  <si>
    <t>Eurofins PIT-System 1 - 105001</t>
  </si>
  <si>
    <t>BICB-QS</t>
  </si>
  <si>
    <t>Rothenburg-BiCA BQS-CiRRUS</t>
  </si>
  <si>
    <t>Campus AG - Chrischonarain 200 - 4126 Bettingen - 104354</t>
  </si>
  <si>
    <t>Test Site Migrol ROD</t>
  </si>
  <si>
    <t>HOS Mundin Samnaun AG</t>
  </si>
  <si>
    <t>Shell Tankstelle - Forchstrasse 180 - 8125 Zollikerberg - 104179</t>
  </si>
  <si>
    <t>Rothenburg-BiCA DEV-CiRRUS Full</t>
  </si>
  <si>
    <t>Post Company Cars AG (90034) - Via Ludains 14 - 7500 St. Moritz-Bad - 103931</t>
  </si>
  <si>
    <t>Landi Maschwanden - 103057</t>
  </si>
  <si>
    <t>Topas Oil GmbH - Cholgrabe 2 - 5306 Tegerfelden - 103355</t>
  </si>
  <si>
    <t>Waldburger Tankstelle - Hauptstrasse 1445 - 9062 Lustmühle-Teufen - 103444</t>
  </si>
  <si>
    <t>Wolfhausen 103718</t>
  </si>
  <si>
    <t>Post Company Cars AG (90020) - Sternmatt 6 - 6011 Kriens - 103933</t>
  </si>
  <si>
    <t>Rothenburg Testanlage 104499</t>
  </si>
  <si>
    <t>HESSCAR AG - Nordstrasse 11 - 8424 Embrach - 578</t>
  </si>
  <si>
    <t>Lenzlinger Söhne AG - Hochstrasse 157 - 8330 Pfäffikon ZH - 104284</t>
  </si>
  <si>
    <t>Agrola Wetzikon - 103721</t>
  </si>
  <si>
    <t>Station-service de l' Ermitage - 103510</t>
  </si>
  <si>
    <t>Suisse Petroli SA - Via del Breggia 15 - 6833 Vacallo - 103499</t>
  </si>
  <si>
    <t>Avia Shop Biel (048) - Brüggstrasse 106 - 2503 Biel/Bienne - 101019</t>
  </si>
  <si>
    <t>Garage &amp; Pneu Albisser - Umfahrungsstrasse 1 6102 Malters - 103537</t>
  </si>
  <si>
    <t>Migrol Service - Bernstrasse 20 - 3280 Murten - 102104</t>
  </si>
  <si>
    <t>AVIA Shop Aesch-Angenstein (007) - Baselstrasse 22 - 4147 Aesch BL - 101104</t>
  </si>
  <si>
    <t>La Mascotte SA</t>
  </si>
  <si>
    <t>La Mascotte SA - Route de la Vallée 7 (102263)</t>
  </si>
  <si>
    <t>HOS La Mascotte SA</t>
  </si>
  <si>
    <t>Herzogenbuchsee 103621</t>
  </si>
  <si>
    <t>Migrol Service - Zürcherstrasse 20 - 5330 Bad Zurzach - 103409</t>
  </si>
  <si>
    <t>Landi Schwarzwasser - Eyboden 8 - 3145 Niederscherli - 102352</t>
  </si>
  <si>
    <t>Suberg 103566</t>
  </si>
  <si>
    <t>Autobetrieb Sernftal AG - Serftalstrasse 17 - 8765 Engi - 580</t>
  </si>
  <si>
    <t>Hugelshofer Transport AG - Juchstrasse 45 - 8501 Frauenfeld - 101903</t>
  </si>
  <si>
    <t>Willisau 103691</t>
  </si>
  <si>
    <t>Abtwil 103271</t>
  </si>
  <si>
    <t>Post Company Cars AG (90016) - Förrlibuckstrasse 59 - 61 8005 Zürich - 103966</t>
  </si>
  <si>
    <t>Station Agrola Colibri - 103746</t>
  </si>
  <si>
    <t>Rickenbach Sulz 103607</t>
  </si>
  <si>
    <t>ENI gooods Rapperswil - Zürcherstrasse 92 - 8640 Rapperswil - 104492</t>
  </si>
  <si>
    <t>Station Mini Prix/Shop - Aarbergstrasse 71 - 2503 Biel/Bienne - 101043</t>
  </si>
  <si>
    <t>Garage Continental - Rue de Gran Place 5 - 3963 Crans-Montana 2 - 103169</t>
  </si>
  <si>
    <t>Postauto u. Carreisen Brem (301 944) - Mühlmatt 212 - 5063 Wölflinswil - 101932</t>
  </si>
  <si>
    <t>Agrola Tankstelle - 102783</t>
  </si>
  <si>
    <t>Station-service Combustia - 101670</t>
  </si>
  <si>
    <t>Spagnolo Antonio - Rue du Tir-au-Canon 1 - 1227 Carouge GE - 104149</t>
  </si>
  <si>
    <t>Stabio - Via Gaggiolo 47 - 6855 Stabio Gaggiolo 4 - 104111</t>
  </si>
  <si>
    <t>Waldeck AG - Bernstrasse 4 - 3072 Ostermundigen - 102002</t>
  </si>
  <si>
    <t>Station-service Combustia - Garage de Champéry - 101127</t>
  </si>
  <si>
    <t>Basch AG - Frohburgstrasse 1 - 5610 Wohlen AG - 102737</t>
  </si>
  <si>
    <t>Bossert Walter AG - Vorstatt 28 - 6244 Nebikon - 102179</t>
  </si>
  <si>
    <t>Station-service Combustia - Garage LAZER SA - 101715</t>
  </si>
  <si>
    <t>Garage de la Comiche SA - Place du Nord 3 - 1071 Chexbres - 101924</t>
  </si>
  <si>
    <t>Garage Edelwyss GmbH - Plattis 1 - 9476 Weite - 102107</t>
  </si>
  <si>
    <t>Station-service Combustia - 101691</t>
  </si>
  <si>
    <t>Sörenberg 102798</t>
  </si>
  <si>
    <t>Umbrail Garage GmbH - Do Fuschina 102 - 7536 Santa Maria - 102293</t>
  </si>
  <si>
    <t>Walter Tschannen AG - Unt. Brühlstrasse 26 - 4800 Zofingen - 103170</t>
  </si>
  <si>
    <t>Coop station service - Rue du Commerce  100 - 2300 La Chaux-de-Fonds - 101509</t>
  </si>
  <si>
    <t>Daytona Garage AG - Feldstrasse 6 - 5415 Nussbaumen AG - 101655</t>
  </si>
  <si>
    <t>LANDI Melchnau-Bützberg - 103386</t>
  </si>
  <si>
    <t>FW Tankstellen AG - Schachenstrasse 3 - 5013 Niedergösgen - 102299</t>
  </si>
  <si>
    <t>Landi Freiamt - Bahnhofstrasse 73 - 8965 Berikon - 101213</t>
  </si>
  <si>
    <t>LANDI Sense-Düdingen - Hauptstrasse 47 - 1714 Heitenried - 103740</t>
  </si>
  <si>
    <t>Station Migrol Garage Touring SA - Rue des Moulins 5 - 2105 Travers - 103504</t>
  </si>
  <si>
    <t>Station-service Combustia - 102291</t>
  </si>
  <si>
    <t>ENI gooods Corseaux Vevey - Route de Lavaux 8 -1802 Corseaux - 104495</t>
  </si>
  <si>
    <t>Piccadilly SA (2103) - Monte Ceneri 11 - 6512 Giubiasco - 104109</t>
  </si>
  <si>
    <t>Piccadilly SA (2207) - Via San Martino - 6850 Mendrisio - 104313</t>
  </si>
  <si>
    <t>Hilzinger AG - Schaffhauserstrasse 111 - 8500 Frauenfeld - 102145</t>
  </si>
  <si>
    <t>ISA Treibstoffe GmbH - Gerliswilstrasse 10 - 6020 Emmenbrücke - 103762</t>
  </si>
  <si>
    <t>Schulungsanlage Migrol - 104131</t>
  </si>
  <si>
    <t>Ebnat AG - Industriestrasse 34 - 9642 Ebnat-Kappel - 102165</t>
  </si>
  <si>
    <t>Rothenburg CiRRUS Testsystem H1-QS</t>
  </si>
  <si>
    <t>Settelen AG - Türkheimerstrasse 17 - 4009 Basel - 102751</t>
  </si>
  <si>
    <t>Station Guex SA - 104038</t>
  </si>
  <si>
    <t>Suisse Petroli SA -  Via Confine 31 - 6830 Brusino Arsizio - 104350</t>
  </si>
  <si>
    <t>BiCA Demo #1 UnitiExpo</t>
  </si>
  <si>
    <t>Bürglen 103596</t>
  </si>
  <si>
    <t>Hirzel 104089</t>
  </si>
  <si>
    <t>KIBAG Dienstleistungen AG - Bächaustrasse 73 - Bäch - 101042</t>
  </si>
  <si>
    <t>Schmiedrued 101069</t>
  </si>
  <si>
    <t>Shell Tankstelle/Shop - Emmentalstrasse 14 - 3400 BurgdorfBurgdorf - 104181</t>
  </si>
  <si>
    <t>Garage Kuhn + Co - Kempttalstrasse 43 - 8308 Illnau - 103982</t>
  </si>
  <si>
    <t>Port des Garinettes - 1586 Vallamand - 103988</t>
  </si>
  <si>
    <t>Siegrist SA / Shop - Route de Tavannes 44 - 2732 Reconvilier - 102507</t>
  </si>
  <si>
    <t>Bülach 103618</t>
  </si>
  <si>
    <t>Landi Bachtel - 104252</t>
  </si>
  <si>
    <t>Agrola Tankstelle - 101739</t>
  </si>
  <si>
    <t>Post Company Cars AG (90129) - Schöntalstrasse 25 - 9032 Engelburg - 104148</t>
  </si>
  <si>
    <t>Kirchdorf 104119</t>
  </si>
  <si>
    <t>BiCA Rothenburg - CMA Austausch-Lager</t>
  </si>
  <si>
    <t>Fehraltorf 103614</t>
  </si>
  <si>
    <t>Jona - St. Gallerstrasse 53 - 8645 Jona - 101851</t>
  </si>
  <si>
    <t>Post Company Cars AG (90073) - Sissacherstrasse 15 - 4460 Gelterkinden - 103914</t>
  </si>
  <si>
    <t>Post Company Cars AG (90106) - Dammstrasse 7 - 8280 Kreuzlingen - 103952</t>
  </si>
  <si>
    <t>Station-service Combustia - 103126</t>
  </si>
  <si>
    <t>Embrach 103645</t>
  </si>
  <si>
    <t>Gioia Combustibili SA - Via Cantonale 59 - 6818 Melano - 104184</t>
  </si>
  <si>
    <t>AVALOG Properties AG - Allmendstrasse 140 - 8027 Zürich - 102358</t>
  </si>
  <si>
    <t>Agrola Tankstelle - 104068</t>
  </si>
  <si>
    <t>AVIA Tanstelle (227) - Brünigstrasse 37 - 6055 Alpnach Dorf - 104209</t>
  </si>
  <si>
    <t>Garage St-Christophe - Route de Troistorrents 55 - 1872 Troistorrents - 101992</t>
  </si>
  <si>
    <t>Landi La Côte SA - 103755</t>
  </si>
  <si>
    <t>Auto Heller AG Buochs - Stanserstrasse 1 - 6374 Buochs - 102236</t>
  </si>
  <si>
    <t>MAGG Maschinenbau AG - 104057</t>
  </si>
  <si>
    <t>Station-service Combustia - Les Bioleys - 101697</t>
  </si>
  <si>
    <t>BP-Tankstelle / Shop - Hauptstrasse 94 - 2560 Nidau - 102787</t>
  </si>
  <si>
    <t>Electrosuisse System 4 - 105004</t>
  </si>
  <si>
    <t>Post Company Cars AG (90123) - Nidfeldstrasse 1 - 6010 Kriens - 103934</t>
  </si>
  <si>
    <t>Landi Unterwalden AG - Brünigstrasse 11 - 6055 Alpnach Dorf - 104114</t>
  </si>
  <si>
    <t>Landi Albis - 101942</t>
  </si>
  <si>
    <t>Rüfenach 101182</t>
  </si>
  <si>
    <t>AVIA Shop Basel-Gellert (001) - St. Alban-Anlage 72 - 4052 Basel - 101103</t>
  </si>
  <si>
    <t>Station-service Combustia - 101703</t>
  </si>
  <si>
    <t>Agrola Tankstelle - Bischofszellerstrasse 45 - 9200 Gossau SG - 102312</t>
  </si>
  <si>
    <t>Gossau - (AEC 127)</t>
  </si>
  <si>
    <t>Trubschachen 103788</t>
  </si>
  <si>
    <t>Schötz 103471</t>
  </si>
  <si>
    <t>Agrola Tankstelle - 104063</t>
  </si>
  <si>
    <t>Migrol Service - Langgasse 41 - 9000 St. Gallen - 102728</t>
  </si>
  <si>
    <t>Nesslau - Toggenburgerstrasse 7 - 9652 Neu St. Johann - 101644</t>
  </si>
  <si>
    <t>Auto Bettschen AG - Bernstrasse 40 - 3612 Steffisburg - 104273</t>
  </si>
  <si>
    <t>Andwil 104087</t>
  </si>
  <si>
    <t>Combustia station-service - 104153</t>
  </si>
  <si>
    <t>BIC-Schulung 1</t>
  </si>
  <si>
    <t>CiRRUS Schulungsanlage 1 - Buzibachstrasse 45 - 6023 Rothenburg</t>
  </si>
  <si>
    <t>Senn Erben AG - Kasernenstrasse 687 - 7000 Chur - 103776</t>
  </si>
  <si>
    <t>Post Company Cars AG (90021) - Weinberglistrasse 4 - 6005 Luzern</t>
  </si>
  <si>
    <t>Agrola Tankstelle - 104036</t>
  </si>
  <si>
    <t>Agrola Tiefencastel - Julierstrasse - 7450 Tiefencastel - 103606</t>
  </si>
  <si>
    <t>Gailloud Automobiles SA - Avenue des Ormonts 20 - 1860 Aigle - 102567</t>
  </si>
  <si>
    <t>Thusis 103487</t>
  </si>
  <si>
    <t>Luzerner Kantonsspital - 102603</t>
  </si>
  <si>
    <t>LANDI Nord Vaudois-Venoge SA - Route de Dizy 1 - 1304 Cossonay-Ville - 104231</t>
  </si>
  <si>
    <t>Righetti Combustibili SA - 102628</t>
  </si>
  <si>
    <t>Gebr. Bruhin AG - Mühle - 8862 Schübelbach - 102748</t>
  </si>
  <si>
    <t>LANDI Aare Genossenschaft - 103661</t>
  </si>
  <si>
    <t>Waldburger Tankstelle - Langgasse 106 - 9008 St. Gallen - 102598</t>
  </si>
  <si>
    <t>Dietikon 104052</t>
  </si>
  <si>
    <t>Boll 103635</t>
  </si>
  <si>
    <t>Kirchberg Alchenflüh 102033</t>
  </si>
  <si>
    <t>Migrol Auto Service - Giesshübelstrasse 45 / Bubenbergstrasse 8045 Zürich - 103458</t>
  </si>
  <si>
    <t>Station-service Combustia l'Etoile - 103984</t>
  </si>
  <si>
    <t>Auto Bugmann - Surbtalstrasse 28 - 5312 Döttingen - 102593</t>
  </si>
  <si>
    <t>Feuerwehr - Spalenvorstadt 11/Kornhausgasse 18 - 4051 Basel - 104239</t>
  </si>
  <si>
    <t>Lenzlinger Söhne AG - Sonnenbergstrasse 11 - 8610 Uster - 101139</t>
  </si>
  <si>
    <t>Migrol Tankstelle Säntis Garage - Dorfstrasse 105 - 9055 Bühler - 103354</t>
  </si>
  <si>
    <t>Lausanne Simplon Gare 101531</t>
  </si>
  <si>
    <t>Landi Bucheggberg-Landshut - 103730</t>
  </si>
  <si>
    <t>Hegnau 103612</t>
  </si>
  <si>
    <t>SBK- Markt - 101026</t>
  </si>
  <si>
    <t>Hergol Tankstellen AG - Artherstrasse 31 - 6405 Immensee - 104022</t>
  </si>
  <si>
    <t>Tankstelle Hess - Worblaufenstrasse 159 - 3048 Worblaufen - 101756</t>
  </si>
  <si>
    <t>Landi Oberwallis - 104293</t>
  </si>
  <si>
    <t>Landi Luzern-West - 101304</t>
  </si>
  <si>
    <t>Erik Walther Zentrale</t>
  </si>
  <si>
    <t xml:space="preserve">Erik Walther Zentrale </t>
  </si>
  <si>
    <t>Franz AG - Moostrasse 33a - 8907 Wettswil - 102708</t>
  </si>
  <si>
    <t>Garage B. Seeberger AG - Industriestrasse 32 - 6102 Malters - 101704</t>
  </si>
  <si>
    <t>Landi Frila - 101912</t>
  </si>
  <si>
    <t>Zünd MobilCenter Widnau AG - Diepoldsauer Strasse 38 - 9443 Widnau - 102193</t>
  </si>
  <si>
    <t>LANDI Frila Genossenschaft - 103542</t>
  </si>
  <si>
    <t>Landi Weinland Genossenschaft - 103679</t>
  </si>
  <si>
    <t>Auto Center Willisau AG - Menznauerstrasse 30 - 6130 Willisau - 102569</t>
  </si>
  <si>
    <t>Coop Pronto - Langfeldstrasse - 8500 Frauenfeld - 101357</t>
  </si>
  <si>
    <t>LANDI Sense-Düdingen - 103715</t>
  </si>
  <si>
    <t>Auto Gasparini AG - Veia Granda - 7440 Andeer - 101649</t>
  </si>
  <si>
    <t>Landi Aachtal - 103656</t>
  </si>
  <si>
    <t>Gebr. Blum AG - Steinacher 3 - 6264 Pfaffnau - 103989</t>
  </si>
  <si>
    <t>LANDI Aare Genossenschaft - 104051</t>
  </si>
  <si>
    <t>Emmenmatt 101008</t>
  </si>
  <si>
    <t>Bauma 103608</t>
  </si>
  <si>
    <t>Sessa-Cassinone - Via Dogana 13 - 6997 Sessa-Cassinone - 104110</t>
  </si>
  <si>
    <t>VERTU Hospitality AG - Kauffmannweg 20 - 6003 Luzern - 104023</t>
  </si>
  <si>
    <t>Station-service Combustia - Auto-Shop Beaulieu - 101688</t>
  </si>
  <si>
    <t>Waldburger Tankstelle - Kreuzlingerstrasse 81 - Romanshorn - 103514</t>
  </si>
  <si>
    <t>Mühlethurnen 104123</t>
  </si>
  <si>
    <t>Landi Diemtigtal - 103568</t>
  </si>
  <si>
    <t>BiRS Schulungsanlage - Buzibachstrasse 45 - 6023 Rothenburg CMA</t>
  </si>
  <si>
    <t>Spurt E. Waldburger - 102501</t>
  </si>
  <si>
    <t>Auto Suter AG - Chamerstrasse 50 - 6331 Hünenberg - 104079</t>
  </si>
  <si>
    <t>Landi Aare - 104251</t>
  </si>
  <si>
    <t>Post Company Cars AG (90026) - Weihermattstrasse 64 - 5001 Aarau - 103908</t>
  </si>
  <si>
    <t>Antrobio SA - La Cantonal 62 - 6677 Aurigeno - 101809</t>
  </si>
  <si>
    <t>GVS Landi AG - 104137</t>
  </si>
  <si>
    <t>Landi Zola AG - 103726</t>
  </si>
  <si>
    <t>Ettenhausen 104072</t>
  </si>
  <si>
    <t>Post Company Cars SA (90083) - Rue de l'Ancien-Stand - 1400 Yverdon - 103960</t>
  </si>
  <si>
    <t>St. Erhard 103733</t>
  </si>
  <si>
    <t>Avenches 104007</t>
  </si>
  <si>
    <t>LANDI Sempach-Emmen - 101719</t>
  </si>
  <si>
    <t>Cantiere Nautico - Campo Felice - 6598 Tenero - 102642</t>
  </si>
  <si>
    <t>Top Shop Agrola - 104067</t>
  </si>
  <si>
    <t>Tankstelle Waldburger - 102758</t>
  </si>
  <si>
    <t>Landi Züri Unterland - 101805</t>
  </si>
  <si>
    <t>Rheinfelden 101138</t>
  </si>
  <si>
    <t>Landi Mittelthurgau - 104086</t>
  </si>
  <si>
    <t>Tankstelle Weber - Shell Tankstelle-CarWash - Hauptstrasse 134 - 4147 Aesch BL - 101610</t>
  </si>
  <si>
    <t>Garage des Trois Chênes SA - Route d`Yverdon 19 - Echallens - 102177</t>
  </si>
  <si>
    <t>Fiechter AG - Schmittengasse 1 - 5723 Teufenthal AG - 102796</t>
  </si>
  <si>
    <t>Landi Région Neuchâtel SA - 103581</t>
  </si>
  <si>
    <t>Auto Dall'Omo GmbH - Brünigstrasse 32 - 6053 Alpnachstad - 102325</t>
  </si>
  <si>
    <t>Post Company Cars AG (90025) - Gislerstrasse 3 - 6234 Triengen - 103935</t>
  </si>
  <si>
    <t>Shell Tankstelle / Shop - Avenue Mon Repos 5 - 1005 Lausanne - 104189</t>
  </si>
  <si>
    <t>Landi Wohlensee - 103634</t>
  </si>
  <si>
    <t>Station-service Combustia -  Sottaz - 101686</t>
  </si>
  <si>
    <t>Anton Saxer AG - Götzisbodenweg 16 - 4133 Pratteln - 104256</t>
  </si>
  <si>
    <t>Post Company Cars AG (90029) - Schinerstrasse 16 - 3900 Brig - 103953</t>
  </si>
  <si>
    <t>Landi BACHTEL, Genossenschaft - 104226</t>
  </si>
  <si>
    <t>LANDI ZOFINGEN - 102470</t>
  </si>
  <si>
    <t>Station-service Combustia - Garage Central - 101694</t>
  </si>
  <si>
    <t>Landi Luzern-West - 101299</t>
  </si>
  <si>
    <t>Landi Sempach-Station - Bahnhofstrasse 27 - 6203 Sempach Station - 103996</t>
  </si>
  <si>
    <t>Germann Marine + Tankstelle - Rorschacherstrasse 239 - 9016 St. Gallen - 101609</t>
  </si>
  <si>
    <t>Post Company Cars AG (90004) - Ostermundigenstrasse 99 - 3000 Bern 29 - 103969</t>
  </si>
  <si>
    <t>Post Company Cars SA (90062) - Via Vergiò - 6932 Breganzona - 103946</t>
  </si>
  <si>
    <t>Landi mittlerer Zürisee, Gen. - 101314</t>
  </si>
  <si>
    <t>Garage Auto Petinesca AG - Route de Tavannes 44 - 2732 Reconvilier - Studen BE - 102419</t>
  </si>
  <si>
    <t>Landi Laden Hallwilersee - 103603</t>
  </si>
  <si>
    <t>Eduard Waldburger AG - Neudorfstrasse 10 - 9430 St. Margrethen SG - 102754</t>
  </si>
  <si>
    <t>ecoTank AG - Vierlinden 7 - 5225 Bözberg - 101847</t>
  </si>
  <si>
    <t>Landi Sins - 103560</t>
  </si>
  <si>
    <t>Baar 103549</t>
  </si>
  <si>
    <t>Carrouge(VD) 104018</t>
  </si>
  <si>
    <t>AVIA Shop Liestal (004) - 101180</t>
  </si>
  <si>
    <t>Uhwiesen 104103</t>
  </si>
  <si>
    <t>Post Company Cars AG (90116) - Werkhofstrasse 8 - 2503 Biel/Bienne - 103905</t>
  </si>
  <si>
    <t>Landi Luzern-West - 104041</t>
  </si>
  <si>
    <t>Autohaus Rietliau AG - Alte Landstrasse 4 - 8820 Wädenwil - 103215</t>
  </si>
  <si>
    <t>Garage Markus Gut - Glarnerstrasse 47 - Richterswil - 101736</t>
  </si>
  <si>
    <t>Karl Graf Automobile AG - Zürichstrasse 30 - 8932 Mettmenstetten - 101057</t>
  </si>
  <si>
    <t>Agrola Tankstelle + Shop - 103675</t>
  </si>
  <si>
    <t>Landi BippGäuThal AG - 103641</t>
  </si>
  <si>
    <t>Garage Keller AG - Scherbstrasse 18 - 9633 Hemberg - 103727</t>
  </si>
  <si>
    <t>Adligenswil 102357</t>
  </si>
  <si>
    <t>Berlin-Schöneberg - Shell Tankstelle - Sachsendamm 90 - DE-10829 Berlin Schönenberg - 103524</t>
  </si>
  <si>
    <t>LANDI Oberwallis AG - 104030</t>
  </si>
  <si>
    <t>LANDI Laden Bellmund - 104183</t>
  </si>
  <si>
    <t>Agrola Thun - 104194</t>
  </si>
  <si>
    <t>Post Company Cars AG (90127) - Lagerstrasse 4 - 9200 Gossau SG - 103906</t>
  </si>
  <si>
    <t>Hünenberg 103753</t>
  </si>
  <si>
    <t>Mini Prix Station SA - Router du Grand-St-Bernard - 1946 Bourg-St-Pierre -  103037</t>
  </si>
  <si>
    <t>Därstetten 103687</t>
  </si>
  <si>
    <t>Landi Thurland Genossenschaft - 103467</t>
  </si>
  <si>
    <t>Thundorf 104004</t>
  </si>
  <si>
    <t>Au Shop - Route de Rossens 102 - 1726 Farvagny - 101645</t>
  </si>
  <si>
    <t>Waldburger Tankstelle - Oberegger Strasse 12 - 9442 Berneck - 102214</t>
  </si>
  <si>
    <t>Agrola Tankstelle - 101031</t>
  </si>
  <si>
    <t>Ennio Ferrari SA - Impresa generale di costruzioni - 6527 Lodrino - 103089</t>
  </si>
  <si>
    <t>LANDI Bern-West - 104124</t>
  </si>
  <si>
    <t>Auto Schneider AG - Kuhgaesslistrasse 1 - 5303 Würenlingen - 101786</t>
  </si>
  <si>
    <t>Hessag AG - Turnierstrasse 102 - 3097 Liebefeld/Köniz - 101936</t>
  </si>
  <si>
    <t>Agrola Tankstelle - 103509</t>
  </si>
  <si>
    <t>Landi Hallwilersee - 103638</t>
  </si>
  <si>
    <t>Flugplatz B  - Birrfeld- 5242 Birr-Lupfig - 104381</t>
  </si>
  <si>
    <t>Gioia Combustibili SA - Via Cantonale 32 - 6805 Mezzovico - 103029</t>
  </si>
  <si>
    <t>Garage Lueg is Land AG - Hauptstrasse 8723 Rufi - 102487</t>
  </si>
  <si>
    <t>Regionalwerke Baden - Im Roggebode 1 - 5401 Baden - 104219</t>
  </si>
  <si>
    <t>Landi Thurland - Bahndammweg 5 - 8506 Islikon - 103751</t>
  </si>
  <si>
    <t>Hinwil 103611</t>
  </si>
  <si>
    <t>Landi Hallwilersee - Dorfstrasse 13 - 5725 Leutwil - 103752</t>
  </si>
  <si>
    <t>Garage et Carrosserie de la Sarvaz - Rue de la Sarvaz 2 - 1913 Saillon - 102785</t>
  </si>
  <si>
    <t>Suisse Petroli SA -  Via Cantonale 46 - 6978 Gandria - 104348</t>
  </si>
  <si>
    <t>LANDI Seeland AG - 103473</t>
  </si>
  <si>
    <t>Landi Eulachtal - 104070</t>
  </si>
  <si>
    <t>Stockhorngarage Burgistein GmbH - Landstrasse 1c - 3664 Burgistein Station - 101792</t>
  </si>
  <si>
    <t>Landi Thal-Balsthal - 101662</t>
  </si>
  <si>
    <t>BiCA Demo #2 UnitiExpo</t>
  </si>
  <si>
    <t>Post Company Cars AG (90119) - Burgerrietstrasse 9 - 8730 Uznach - 103940</t>
  </si>
  <si>
    <t>Schelbert Garage GmbH - Hauptstrasse 96 - 6436 Muotathal - 102210</t>
  </si>
  <si>
    <t>Aarau 102203</t>
  </si>
  <si>
    <t>Station-service Combustia - 101692</t>
  </si>
  <si>
    <t>Fässler Sepp AG - Feldstrasse 11 - 9050 Appenzell - 103263</t>
  </si>
  <si>
    <t>Station-service Combustia - Relais de Miéville - 101680</t>
  </si>
  <si>
    <t>André König - Südstrasse 11 - 3250 Lyss - 102694</t>
  </si>
  <si>
    <t>Dinhard 103517</t>
  </si>
  <si>
    <t>Migrol Service - Birmensdorferstrasse S - 2 - 8302 Urdorf - 103437</t>
  </si>
  <si>
    <t>Scall Tankstelle GmbH - 102415</t>
  </si>
  <si>
    <t>Landi Maiengruen - Sägestrasse 10 - 5600 Lenzburg - 101713</t>
  </si>
  <si>
    <t>Feneberg Lebensmittel GmbH - Ursulasrieder Strasse 2 - 87437 Kempten - 103584</t>
  </si>
  <si>
    <t>Egg 103615</t>
  </si>
  <si>
    <t>Lausen 103144</t>
  </si>
  <si>
    <t>Hergol Tankstellen AG - Seestrasse 8 - 6052 Hergiswil NW - 104221</t>
  </si>
  <si>
    <t>Feneberg Lebensmittel GmbH - Am Buehlberg 4 - 88316 Isny - 103583</t>
  </si>
  <si>
    <t>Spymag AG - Schlossmattstrasse 10 - 3600 Thun - 102561</t>
  </si>
  <si>
    <t>Landi  Buchsi , Genossenschaft - 101308</t>
  </si>
  <si>
    <t>LANDI Simmental-Saanenland - 104175</t>
  </si>
  <si>
    <t>Migrol Tankstelle - Schaffhauserstrasse 315 - 8050 Zürich Oerlikon - 102096</t>
  </si>
  <si>
    <t>LANDI Aare Genossenschaft - 102369</t>
  </si>
  <si>
    <t>PRG SUISSE SA - Route de la Sarraz 6 - 1304 Cossanay-Villy - 101320</t>
  </si>
  <si>
    <t>Landi Wila-Turbenthal - 103998</t>
  </si>
  <si>
    <t>Socar Tankstelle - Churerstrasse 17 - 7013 Domat/Ems - 101826</t>
  </si>
  <si>
    <t>Agrola Tankstelle - 102533</t>
  </si>
  <si>
    <t>Agrola Tankstelle - 104065</t>
  </si>
  <si>
    <t>Garage Piccinato AG - Hauptstrasse 46 - 4112 Bättwil - 103786</t>
  </si>
  <si>
    <t>Station-service Combustia - Garage des Alpes - 101699</t>
  </si>
  <si>
    <t>Agrola Tankstelle - Hauptstrasse 19 - 5105 Auenstein - 103083</t>
  </si>
  <si>
    <t>IBB Energie AG - Zürcherstrasse 3 - 5210 Windisch - 104107</t>
  </si>
  <si>
    <t>Agrola Tankstelle - 103479</t>
  </si>
  <si>
    <t>0080-Wertheim</t>
  </si>
  <si>
    <t>Hergol Tankstellen AG - Löwenplatz 3 - 5712 Beinwil am See - 103625</t>
  </si>
  <si>
    <t>Garage Wälti AG - Zeughausstrasse 12 - 8887 Mels - 102449</t>
  </si>
  <si>
    <t>BP Tankstelle / Shop - Weidenweg 24 - 4310 Rheinfelden - 102364</t>
  </si>
  <si>
    <t>Migrol Service - Oberschirmensee 8 - 8714 Feldbach - 103370</t>
  </si>
  <si>
    <t>Dorf Garage Wagner AG - St. Urbanstrasse 9 - 6144 Zell LU - 101915</t>
  </si>
  <si>
    <t>Landi Bucheggberg-Landshut - 103627</t>
  </si>
  <si>
    <t>Post Company Cars SA (90084) - Route de Cossonay 34 - 1040 Echallens - 103956</t>
  </si>
  <si>
    <t>Agrola Tankstelle - 101319</t>
  </si>
  <si>
    <t>Migrol Tankstelle - Zollstrasse 111 - 8005 Zürich - 103456</t>
  </si>
  <si>
    <t>Bottens 104098</t>
  </si>
  <si>
    <t>ecoTank AG - Im See 14 - 4208 Nunningen - 103870</t>
  </si>
  <si>
    <t>Station-service Combustia - Garage Corbassières - 101668</t>
  </si>
  <si>
    <t>Granol AG - Zeughausstrasse 5 - 6210 Sursee - 104292</t>
  </si>
  <si>
    <t>Garage Sopa - Schmiedengasse 1 - 4710 Balsthal - 102702</t>
  </si>
  <si>
    <t>Post Company Cars AG (90093) - Ziegeleistrasse 50 - 4242 Laufen - 103915</t>
  </si>
  <si>
    <t>Agrola Tankstelle - 104055</t>
  </si>
  <si>
    <t>Hergol Tankstellen AG - Seestrasse 8 - 6052 Hergiswil NW - 104220</t>
  </si>
  <si>
    <t>Berwert - Schwanderstrasse 28 - 6063 Stalden (Sarnen) - 101978</t>
  </si>
  <si>
    <t>Andex &amp; Co. - Bernstrasse 84 - 8964 Rudolfstetten - 104238</t>
  </si>
  <si>
    <t>Illnau 103616</t>
  </si>
  <si>
    <t>JobNr</t>
  </si>
  <si>
    <t>ID/Link</t>
  </si>
  <si>
    <t>Netbox Status</t>
  </si>
  <si>
    <t>CiRRUS Status</t>
  </si>
  <si>
    <t>#</t>
  </si>
  <si>
    <t>VPN Gateway</t>
  </si>
  <si>
    <t>Encapsulation</t>
  </si>
  <si>
    <t>Algorithm</t>
  </si>
  <si>
    <t>Policy</t>
  </si>
  <si>
    <t>CH-104229_IPSec</t>
  </si>
  <si>
    <t>CH-104229_Gateway</t>
  </si>
  <si>
    <t>TUNNEL</t>
  </si>
  <si>
    <t>3DES/SHA1</t>
  </si>
  <si>
    <t>CH-103172_IPSec</t>
  </si>
  <si>
    <t>CH-103172_Gateway</t>
  </si>
  <si>
    <t>CH-103657_IPSec</t>
  </si>
  <si>
    <t>CH-103657_Gateway</t>
  </si>
  <si>
    <t>CH-101928_IPSec</t>
  </si>
  <si>
    <t>CH-101928_Gateway</t>
  </si>
  <si>
    <t>CH-104323_IPSec</t>
  </si>
  <si>
    <t>CH-104323_Gateway</t>
  </si>
  <si>
    <t>CH-101946_IPSec</t>
  </si>
  <si>
    <t>CH-101946_Gateway</t>
  </si>
  <si>
    <t>CH-101635_IPSec</t>
  </si>
  <si>
    <t>CH-101635_Gateway</t>
  </si>
  <si>
    <t>CH-102278_IPSec</t>
  </si>
  <si>
    <t>CH-102278_Gateway</t>
  </si>
  <si>
    <t>CH-103464_IPSec</t>
  </si>
  <si>
    <t>CH-103464_Gateway</t>
  </si>
  <si>
    <t>CH-102210_IPSec</t>
  </si>
  <si>
    <t>CH-102210_Gateway</t>
  </si>
  <si>
    <t>CH-103537_IPSec</t>
  </si>
  <si>
    <t>CH-103537_Gateway</t>
  </si>
  <si>
    <t>CH-103757_IPSec</t>
  </si>
  <si>
    <t>CH-103757_Gateway</t>
  </si>
  <si>
    <t>CH-103601_IPSec</t>
  </si>
  <si>
    <t>CH-103601_Gateway</t>
  </si>
  <si>
    <t>CH-102162_IPSec</t>
  </si>
  <si>
    <t>CH-102162_Gateway</t>
  </si>
  <si>
    <t>CH-102793_IPSec</t>
  </si>
  <si>
    <t>CH-102793_Gateway</t>
  </si>
  <si>
    <t>CH-101655_IPSec</t>
  </si>
  <si>
    <t>CH-101655_Gateway</t>
  </si>
  <si>
    <t>CH-103781_IPSec</t>
  </si>
  <si>
    <t>CH-103781_Gateway</t>
  </si>
  <si>
    <t>CH-101941_IPSec</t>
  </si>
  <si>
    <t>CH-101941_Gateway</t>
  </si>
  <si>
    <t>CH-102328_IPSec</t>
  </si>
  <si>
    <t>CH-102328_Gateway</t>
  </si>
  <si>
    <t>CH-102285_IPSec</t>
  </si>
  <si>
    <t>CH-102285_Gateway</t>
  </si>
  <si>
    <t>CH-102694_IPSec</t>
  </si>
  <si>
    <t>CH-102694_Gateway</t>
  </si>
  <si>
    <t>CH-102293_IPSec</t>
  </si>
  <si>
    <t>CH-102293_Gateway</t>
  </si>
  <si>
    <t>CH-102362_IPSec</t>
  </si>
  <si>
    <t>CH-102362_Gateway</t>
  </si>
  <si>
    <t>CH-102796_IPSec</t>
  </si>
  <si>
    <t>CH-102796_Gateway</t>
  </si>
  <si>
    <t>CH-102241_IPSec</t>
  </si>
  <si>
    <t>CH-102241_Gateway</t>
  </si>
  <si>
    <t>CH-101955_IPSec</t>
  </si>
  <si>
    <t>CH-101955_Gateway</t>
  </si>
  <si>
    <t>CH-101235_IPSec</t>
  </si>
  <si>
    <t>CH-101235_Gateway</t>
  </si>
  <si>
    <t>CH-103896_IPSec</t>
  </si>
  <si>
    <t>CH-103896_Gateway</t>
  </si>
  <si>
    <t>CH-101736_IPSec</t>
  </si>
  <si>
    <t>CH-101736_Gateway</t>
  </si>
  <si>
    <t>CH-103281_IPSec</t>
  </si>
  <si>
    <t>CH-103281_Gateway</t>
  </si>
  <si>
    <t>CH-103202_IPSec</t>
  </si>
  <si>
    <t>CH-103202_Gateway</t>
  </si>
  <si>
    <t>CH-102145_IPSec</t>
  </si>
  <si>
    <t>CH-102145_Gateway</t>
  </si>
  <si>
    <t>CH-102449_IPSec</t>
  </si>
  <si>
    <t>CH-102449_Gateway</t>
  </si>
  <si>
    <t>CH-102325_IPSec</t>
  </si>
  <si>
    <t>CH-102325_Gateway</t>
  </si>
  <si>
    <t>CH-102280_IPSec</t>
  </si>
  <si>
    <t>CH-102280_Gateway</t>
  </si>
  <si>
    <t>CH-103970_IPSec</t>
  </si>
  <si>
    <t>CH-103970_Gateway</t>
  </si>
  <si>
    <t>CH-101992_IPSec</t>
  </si>
  <si>
    <t>CH-101992_Gateway</t>
  </si>
  <si>
    <t>CH-103989_IPSec</t>
  </si>
  <si>
    <t>CH-103989_Gateway</t>
  </si>
  <si>
    <t>CH-103710_IPSec</t>
  </si>
  <si>
    <t>CH-103710_Gateway</t>
  </si>
  <si>
    <t>CH-104014_IPSec</t>
  </si>
  <si>
    <t>CH-104014_Gateway</t>
  </si>
  <si>
    <t>CH-102679_IPSec</t>
  </si>
  <si>
    <t>CH-102679_Gateway</t>
  </si>
  <si>
    <t>CH-101879_IPSec</t>
  </si>
  <si>
    <t>CH-101879_Gateway</t>
  </si>
  <si>
    <t>CH-102236_IPSec</t>
  </si>
  <si>
    <t>CH-102236_Gateway</t>
  </si>
  <si>
    <t>CH-102642_IPSec</t>
  </si>
  <si>
    <t>CH-102642_Gateway</t>
  </si>
  <si>
    <t>CH-103988_IPSec</t>
  </si>
  <si>
    <t>CH-103988_Gateway</t>
  </si>
  <si>
    <t>CH-102146_IPSec</t>
  </si>
  <si>
    <t>CH-102146_Gateway</t>
  </si>
  <si>
    <t>CH-102561_IPSec</t>
  </si>
  <si>
    <t>CH-102561_Gateway</t>
  </si>
  <si>
    <t>CH-103073_IPSec</t>
  </si>
  <si>
    <t>CH-103073_Gateway</t>
  </si>
  <si>
    <t>CH-103573_IPSec</t>
  </si>
  <si>
    <t>CH-103573_Gateway</t>
  </si>
  <si>
    <t>CH-102733_IPSec</t>
  </si>
  <si>
    <t>CH-102733_Gateway</t>
  </si>
  <si>
    <t>CH-102220_IPSec</t>
  </si>
  <si>
    <t>CH-102220_Gateway</t>
  </si>
  <si>
    <t>CH-102709_IPSec</t>
  </si>
  <si>
    <t>CH-102709_Gateway</t>
  </si>
  <si>
    <t>CH-104075_IPSec</t>
  </si>
  <si>
    <t>CH-104075_Gateway</t>
  </si>
  <si>
    <t>CH-101913_IPSec</t>
  </si>
  <si>
    <t>CH-101913_Gateway</t>
  </si>
  <si>
    <t>CH-102759_IPSec</t>
  </si>
  <si>
    <t>CH-102759_Gateway</t>
  </si>
  <si>
    <t>CH-102593_IPSec</t>
  </si>
  <si>
    <t>CH-102593_Gateway</t>
  </si>
  <si>
    <t>CH-103901_IPSec</t>
  </si>
  <si>
    <t>CH-103901_Gateway</t>
  </si>
  <si>
    <t>CH-103499_IPSec</t>
  </si>
  <si>
    <t>CH-103499_Gateway</t>
  </si>
  <si>
    <t>CH-104107_IPSec</t>
  </si>
  <si>
    <t>CH-104107_Gateway</t>
  </si>
  <si>
    <t>CH-104155_IPSec</t>
  </si>
  <si>
    <t>CH-104155_Gateway</t>
  </si>
  <si>
    <t>CH-104219_IPSec</t>
  </si>
  <si>
    <t>CH-104219_Gateway</t>
  </si>
  <si>
    <t>BiCA_Subnet/CH-104229_Subnet</t>
  </si>
  <si>
    <t>BiCA_Subnet/CH-103172_Subnet</t>
  </si>
  <si>
    <t>BiCA_Subnet/CH-103657_Subnet</t>
  </si>
  <si>
    <t>BiCA_Subnet/CH-101928_Subnet</t>
  </si>
  <si>
    <t>BiCA_Subnet/CH-104323_Subnet</t>
  </si>
  <si>
    <t>BiCA_Subnet/CH-101946_Subnet</t>
  </si>
  <si>
    <t>BiCA_Subnet/CH-101635_Subnet</t>
  </si>
  <si>
    <t>BiCA_Subnet/CH-102278_Subnet</t>
  </si>
  <si>
    <t>BiCA_Subnet/CH-103464_Subnet</t>
  </si>
  <si>
    <t>BiCA_Subnet/CH-102210_Subnet</t>
  </si>
  <si>
    <t>BiCA_Subnet/CH-103537_Subnet</t>
  </si>
  <si>
    <t>BiCA_Subnet/CH-103757_Subnet</t>
  </si>
  <si>
    <t>BiCA_Subnet/CH-103601_Subnet</t>
  </si>
  <si>
    <t>BiCA_Subnet/CH-102162_Subnet</t>
  </si>
  <si>
    <t>BiCA_Subnet/CH-102793_Subnet</t>
  </si>
  <si>
    <t>BiCA_Subnet/CH-101655_Subnet</t>
  </si>
  <si>
    <t>BiCA_Subnet/CH-103781_Subnet</t>
  </si>
  <si>
    <t>BiCA_Subnet/CH-101941_Subnet</t>
  </si>
  <si>
    <t>BiCA_Subnet/CH-102328_Subnet</t>
  </si>
  <si>
    <t>BiCA_Subnet/CH-102285_Subnet</t>
  </si>
  <si>
    <t>BiCA_Subnet/CH-102694_Subnet</t>
  </si>
  <si>
    <t>BiCA_Subnet/CH-102293_Subnet</t>
  </si>
  <si>
    <t>BiCA_Subnet/CH-102362_Subnet</t>
  </si>
  <si>
    <t>BiCA_Subnet/CH-102796_Subnet</t>
  </si>
  <si>
    <t>BiCA_Subnet/CH-102241_Subnet</t>
  </si>
  <si>
    <t>BiCA_Subnet/CH-101955_Subnet</t>
  </si>
  <si>
    <t>BiCA_Subnet/CH-101235_Subnet</t>
  </si>
  <si>
    <t>BiCA_Subnet/CH-103896_Subnet</t>
  </si>
  <si>
    <t>BiCA_Subnet/CH-101736_Subnet</t>
  </si>
  <si>
    <t>BiCA_Subnet/CH-103281_Subnet</t>
  </si>
  <si>
    <t>BiCA_Subnet/CH-103202_Subnet</t>
  </si>
  <si>
    <t>BiCA_Subnet/CH-102145_Subnet</t>
  </si>
  <si>
    <t>BiCA_Subnet/CH-102449_Subnet</t>
  </si>
  <si>
    <t>BiCA_Subnet/CH-102325_Subnet</t>
  </si>
  <si>
    <t>BiCA_Subnet/CH-102280_Subnet</t>
  </si>
  <si>
    <t>BiCA_Subnet/CH-103970_Subnet</t>
  </si>
  <si>
    <t>BiCA_Subnet/CH-101992_Subnet</t>
  </si>
  <si>
    <t>BiCA_Subnet/CH-103989_Subnet</t>
  </si>
  <si>
    <t>BiCA_Subnet/CH-103710_Subnet</t>
  </si>
  <si>
    <t>BiCA_Subnet/CH-104014_Subnet</t>
  </si>
  <si>
    <t>BiCA_Subnet/CH-102679_Subnet</t>
  </si>
  <si>
    <t>BiCA_Subnet/CH-101879_Subnet</t>
  </si>
  <si>
    <t>BiCA_Subnet/CH-102236_Subnet</t>
  </si>
  <si>
    <t>BiCA_Subnet/CH-102642_Subnet</t>
  </si>
  <si>
    <t>BiCA_Subnet/CH-103988_Subnet</t>
  </si>
  <si>
    <t>BiCA_Subnet/CH-102146_Subnet</t>
  </si>
  <si>
    <t>BiCA_Subnet/CH-102561_Subnet</t>
  </si>
  <si>
    <t>BiCA_Subnet/CH-103073_Subnet</t>
  </si>
  <si>
    <t>BiCA_Subnet/CH-103573_Subnet</t>
  </si>
  <si>
    <t>BiCA_Subnet/CH-102733_Subnet</t>
  </si>
  <si>
    <t>BiCA_Subnet/CH-102220_Subnet</t>
  </si>
  <si>
    <t>BiCA_Subnet/CH-102709_Subnet</t>
  </si>
  <si>
    <t>BiCA_Subnet/CH-104075_Subnet</t>
  </si>
  <si>
    <t>BiCA_Subnet/CH-101913_Subnet</t>
  </si>
  <si>
    <t>BiCA_Subnet/CH-102759_Subnet</t>
  </si>
  <si>
    <t>BiCA_Subnet/CH-102593_Subnet</t>
  </si>
  <si>
    <t>BiCA_Subnet/CH-103901_Subnet</t>
  </si>
  <si>
    <t>BiCA_Subnet/CH-103499_Subnet</t>
  </si>
  <si>
    <t>BiCA_Subnet/CH-104107_Subnet</t>
  </si>
  <si>
    <t>BiCA_Subnet/CH-104155_Subnet</t>
  </si>
  <si>
    <t>BiCA_Subnet/CH-104219_Subnet</t>
  </si>
  <si>
    <t>DASAG_VPN_Connection</t>
  </si>
  <si>
    <t>DASAG_VPN_Gateway</t>
  </si>
  <si>
    <t>AES256/SHA256</t>
  </si>
  <si>
    <t>CH-103497_IPSec</t>
  </si>
  <si>
    <t>CH-103497_Gateway</t>
  </si>
  <si>
    <t>CH-104238_IPSec</t>
  </si>
  <si>
    <t>CH-104238_Gateway</t>
  </si>
  <si>
    <t>CH-103688_IPSec</t>
  </si>
  <si>
    <t>CH-103688_Gateway</t>
  </si>
  <si>
    <t>CH-103264_IPSec</t>
  </si>
  <si>
    <t>CH-103264_Gateway</t>
  </si>
  <si>
    <t>CH-101704_IPSec</t>
  </si>
  <si>
    <t>CH-101704_Gateway</t>
  </si>
  <si>
    <t>CH-101209_IPSec</t>
  </si>
  <si>
    <t>CH-101209_Gateway</t>
  </si>
  <si>
    <t>CH-104239_IPSec</t>
  </si>
  <si>
    <t>CH-104239_Gateway</t>
  </si>
  <si>
    <t>CH-103761_IPSec</t>
  </si>
  <si>
    <t>CH-103761_Gateway</t>
  </si>
  <si>
    <t>CH-103727_IPSec</t>
  </si>
  <si>
    <t>CH-103727_Gateway</t>
  </si>
  <si>
    <t>CH-104296_IPSec</t>
  </si>
  <si>
    <t>CH-104296_Gateway</t>
  </si>
  <si>
    <t>CH-104300_IPSec</t>
  </si>
  <si>
    <t>CH-104300_Gateway</t>
  </si>
  <si>
    <t>CH-104372_IPSec</t>
  </si>
  <si>
    <t>CH-104372_Gateway</t>
  </si>
  <si>
    <t>CH-101042_IPSec</t>
  </si>
  <si>
    <t>CH-101042_Gateway</t>
  </si>
  <si>
    <t>CH-103355_IPSec</t>
  </si>
  <si>
    <t>CH-103355_Gateway</t>
  </si>
  <si>
    <t>CH-101927_IPSec</t>
  </si>
  <si>
    <t>CH-101927_Gateway</t>
  </si>
  <si>
    <t>CH-101854_IPSec</t>
  </si>
  <si>
    <t>CH-101854_Gateway</t>
  </si>
  <si>
    <t>CH-104240_IPSec</t>
  </si>
  <si>
    <t>CH-104240_Gateway</t>
  </si>
  <si>
    <t>CH-104244_IPSec</t>
  </si>
  <si>
    <t>CH-104244_Gateway</t>
  </si>
  <si>
    <t>CH-102165_IPSec</t>
  </si>
  <si>
    <t>CH-102165_Gateway</t>
  </si>
  <si>
    <t>DE-101084_IPSec</t>
  </si>
  <si>
    <t>DE-101084_Gateway</t>
  </si>
  <si>
    <t>CH-103170_IPSec</t>
  </si>
  <si>
    <t>CH-103170_Gateway</t>
  </si>
  <si>
    <t>CH-103113_IPSec</t>
  </si>
  <si>
    <t>CH-103113_Gateway</t>
  </si>
  <si>
    <t>CH-101223_IPSec</t>
  </si>
  <si>
    <t>CH-101223_Gateway</t>
  </si>
  <si>
    <t>CH-104256_IPSec</t>
  </si>
  <si>
    <t>CH-104256_Gateway</t>
  </si>
  <si>
    <t>CH-104264_IPSec</t>
  </si>
  <si>
    <t>CH-104264_Gateway</t>
  </si>
  <si>
    <t>CH-104167_IPSec</t>
  </si>
  <si>
    <t>CH-104167_Gateway</t>
  </si>
  <si>
    <t>CH-102751_IPSec</t>
  </si>
  <si>
    <t>CH-102751_Gateway</t>
  </si>
  <si>
    <t>CH-101175_IPSec</t>
  </si>
  <si>
    <t>CH-101175_Gateway</t>
  </si>
  <si>
    <t>CH-103782_IPSec</t>
  </si>
  <si>
    <t>CH-103782_Gateway</t>
  </si>
  <si>
    <t>CH-104288_IPSec</t>
  </si>
  <si>
    <t>CH-104288_Gateway</t>
  </si>
  <si>
    <t>CH-104286_IPSec</t>
  </si>
  <si>
    <t>CH-104286_Gateway</t>
  </si>
  <si>
    <t>CH-104274_IPSec</t>
  </si>
  <si>
    <t>CH-104274_Gateway</t>
  </si>
  <si>
    <t>CH-101117_IPSec</t>
  </si>
  <si>
    <t>CH-101117_Gateway</t>
  </si>
  <si>
    <t>CH-104292_IPSec</t>
  </si>
  <si>
    <t>CH-104292_Gateway</t>
  </si>
  <si>
    <t>CH-101989_IPSec</t>
  </si>
  <si>
    <t>CH-101989_Gateway</t>
  </si>
  <si>
    <t>CH-104319_IPSec</t>
  </si>
  <si>
    <t>CH-104319_Gateway</t>
  </si>
  <si>
    <t>CH-104325_IPSec</t>
  </si>
  <si>
    <t>CH-104325_Gateway</t>
  </si>
  <si>
    <t>CH-104338_IPSec</t>
  </si>
  <si>
    <t>CH-104338_Gateway</t>
  </si>
  <si>
    <t>CH-104339_IPSec</t>
  </si>
  <si>
    <t>CH-104339_Gateway</t>
  </si>
  <si>
    <t>CH-101649_IPSec</t>
  </si>
  <si>
    <t>CH-101649_Gateway</t>
  </si>
  <si>
    <t>CH-104348_IPSec</t>
  </si>
  <si>
    <t>CH-104348_Gateway</t>
  </si>
  <si>
    <t>CH-104349_IPSec</t>
  </si>
  <si>
    <t>CH-104349_Gateway</t>
  </si>
  <si>
    <t>CH-103784_IPSec</t>
  </si>
  <si>
    <t>CH-103784_Gateway</t>
  </si>
  <si>
    <t>CH-104350_IPSec</t>
  </si>
  <si>
    <t>CH-104350_Gateway</t>
  </si>
  <si>
    <t>CH-102968_IPSec</t>
  </si>
  <si>
    <t>CH-102968_Gateway</t>
  </si>
  <si>
    <t>CH-102486_IPSec</t>
  </si>
  <si>
    <t>CH-102486_Gateway</t>
  </si>
  <si>
    <t>CH-104354_IPSec</t>
  </si>
  <si>
    <t>CH-104354_Gateway</t>
  </si>
  <si>
    <t>CH-104329_IPSec</t>
  </si>
  <si>
    <t>CH-104329_Gateway</t>
  </si>
  <si>
    <t>CH-101936_IPSec</t>
  </si>
  <si>
    <t>CH-101936_Gateway</t>
  </si>
  <si>
    <t>CH-104376_IPSec</t>
  </si>
  <si>
    <t>CH-104376_Gateway</t>
  </si>
  <si>
    <t>CH-103033_IPSec</t>
  </si>
  <si>
    <t>CH-103033_Gateway</t>
  </si>
  <si>
    <t>CH-104380_IPSec</t>
  </si>
  <si>
    <t>CH-104380_Gateway</t>
  </si>
  <si>
    <t>CH-104381_IPSec</t>
  </si>
  <si>
    <t>CH-104381_Gateway</t>
  </si>
  <si>
    <t>CH-104328_IPSec</t>
  </si>
  <si>
    <t>CH-104328_Gateway</t>
  </si>
  <si>
    <t>CH-101636_IPSec</t>
  </si>
  <si>
    <t>CH-101636_Gateway</t>
  </si>
  <si>
    <t>CH-104384_IPSec</t>
  </si>
  <si>
    <t>CH-104384_Gateway</t>
  </si>
  <si>
    <t>CH-107777_IPSec</t>
  </si>
  <si>
    <t>CH-107777_Gateway</t>
  </si>
  <si>
    <t>Stations_Subnet/DASAG_Subnet</t>
  </si>
  <si>
    <t>BiCA_Subnet/CH-103497_Subnet</t>
  </si>
  <si>
    <t>BiCA_Subnet/CH-104238_Subnet</t>
  </si>
  <si>
    <t>BiCA_Subnet/CH-103688_Subnet</t>
  </si>
  <si>
    <t>BiCA_Subnet/CH-103264_Subnet</t>
  </si>
  <si>
    <t>BiCA_Subnet/CH-101704_Subnet</t>
  </si>
  <si>
    <t>BiCA_Subnet/CH-101209_Subnet</t>
  </si>
  <si>
    <t>BiCA_Subnet/CH-104239_Subnet</t>
  </si>
  <si>
    <t>BiCA_Subnet/CH-103761_Subnet</t>
  </si>
  <si>
    <t>BiCA_Subnet/CH-103727_Subnet</t>
  </si>
  <si>
    <t>BiCA_Subnet/CH-104296_Subnet</t>
  </si>
  <si>
    <t>BiCA_Subnet/CH-104300_Subnet</t>
  </si>
  <si>
    <t>BiCA_Subnet/CH-104372_Subnet</t>
  </si>
  <si>
    <t>BiCA_Subnet/CH-101042_Subnet</t>
  </si>
  <si>
    <t>BiCA_Subnet/CH-103355_Subnet</t>
  </si>
  <si>
    <t>BiCA_Subnet/CH-101927_Subnet</t>
  </si>
  <si>
    <t>BiCA_Subnet/CH-101854_Subnet</t>
  </si>
  <si>
    <t>BiCA_Subnet/CH-104240_Subnet</t>
  </si>
  <si>
    <t>BiCA_Subnet/CH-104244_Subnet</t>
  </si>
  <si>
    <t>BiCA_Subnet/CH-102165_Subnet</t>
  </si>
  <si>
    <t>BiCA_Subnet/DE-101084_Subnet</t>
  </si>
  <si>
    <t>BiCA_Subnet/CH-103170_Subnet</t>
  </si>
  <si>
    <t>BiCA_Subnet/CH-103113_Subnet</t>
  </si>
  <si>
    <t>BiCA_Subnet/CH-101223_Subnet</t>
  </si>
  <si>
    <t>BiCA_Subnet/CH-104256_Subnet</t>
  </si>
  <si>
    <t>BiCA_Subnet/CH-104264_Subnet</t>
  </si>
  <si>
    <t>BiCA_Subnet/CH-104167_Subnet</t>
  </si>
  <si>
    <t>BiCA_Subnet/CH-102751_Subnet</t>
  </si>
  <si>
    <t>BiCA_Subnet/CH-101175_Subnet</t>
  </si>
  <si>
    <t>BiCA_Subnet/CH-103782_Subnet</t>
  </si>
  <si>
    <t>BiCA_Subnet/CH-104288_Subnet</t>
  </si>
  <si>
    <t>BiCA_Subnet/CH-104286_Subnet</t>
  </si>
  <si>
    <t>BiCA_Subnet/CH-104274_Subnet</t>
  </si>
  <si>
    <t>BiCA_Subnet/CH-101117_Subnet</t>
  </si>
  <si>
    <t>BiCA_Subnet/CH-104292_Subnet</t>
  </si>
  <si>
    <t>BiCA_Subnet/CH-101989_Subnet</t>
  </si>
  <si>
    <t>BiCA_Subnet/CH-104319_Subnet</t>
  </si>
  <si>
    <t>BiCA_Subnet/CH-104325_Subnet</t>
  </si>
  <si>
    <t>BiCA_Subnet/CH-104338_Subnet</t>
  </si>
  <si>
    <t>BiCA_Subnet/CH-104339_Subnet</t>
  </si>
  <si>
    <t>BiCA_Subnet/CH-101649_Subnet</t>
  </si>
  <si>
    <t>BiCA_Subnet/CH-104348_Subnet</t>
  </si>
  <si>
    <t>BiCA_Subnet/CH-104349_Subnet</t>
  </si>
  <si>
    <t>BiCA_Subnet/CH-103784_Subnet</t>
  </si>
  <si>
    <t>BiCA_Subnet/CH-104350_Subnet</t>
  </si>
  <si>
    <t>BiCA_Subnet/CH-102968_Subnet</t>
  </si>
  <si>
    <t>BiCA_Subnet/CH-102486_Subnet</t>
  </si>
  <si>
    <t>BiCA_Subnet/CH-104354_Subnet</t>
  </si>
  <si>
    <t>BiCA_Subnet/CH-104329_Subnet</t>
  </si>
  <si>
    <t>BiCA_Subnet/CH-101936_Subnet</t>
  </si>
  <si>
    <t>BiCA_Subnet/CH-104376_Subnet</t>
  </si>
  <si>
    <t>BiCA_Subnet/CH-103033_Subnet</t>
  </si>
  <si>
    <t>BiCA_Subnet/CH-104380_Subnet</t>
  </si>
  <si>
    <t>BiCA_Subnet/CH-104381_Subnet</t>
  </si>
  <si>
    <t>BiCA_Subnet/CH-104328_Subnet</t>
  </si>
  <si>
    <t>BiCA_Subnet/CH-101636_Subnet</t>
  </si>
  <si>
    <t>BiCA_Subnet/CH-104384_Subnet</t>
  </si>
  <si>
    <t>BiCA_Subnet/CH-107777_Subnet</t>
  </si>
  <si>
    <t>Rollout Status</t>
  </si>
  <si>
    <t>PENDING</t>
  </si>
  <si>
    <t>GenerateSecret</t>
  </si>
  <si>
    <t>FolderName</t>
  </si>
  <si>
    <t>Baden.104412</t>
  </si>
  <si>
    <t>Zürich.104414</t>
  </si>
  <si>
    <t>Zürich.104411</t>
  </si>
  <si>
    <t>Zürich.104410</t>
  </si>
  <si>
    <t>Zürich.104489</t>
  </si>
  <si>
    <t>Bad Zurzach.102056</t>
  </si>
  <si>
    <t>Wikon.102054</t>
  </si>
  <si>
    <t>Oberdiessbach.104167</t>
  </si>
  <si>
    <t>Oberkulm.103203</t>
  </si>
  <si>
    <t>Villmergen.104029</t>
  </si>
  <si>
    <t>Schmitten.101095</t>
  </si>
  <si>
    <t>Eschenbach.104408</t>
  </si>
  <si>
    <t>Courtepin.103648</t>
  </si>
  <si>
    <t>Chancy.102015</t>
  </si>
  <si>
    <t>Purasca.104392</t>
  </si>
  <si>
    <t>Stabio.104260</t>
  </si>
  <si>
    <t>Langenthal.104490</t>
  </si>
  <si>
    <t>Val d'Illiez.102263</t>
  </si>
  <si>
    <t>Neuendorf.104026</t>
  </si>
  <si>
    <t>Unterentfelden.103899</t>
  </si>
  <si>
    <t>Zürich.103318</t>
  </si>
  <si>
    <t>Samnaun Dorf.104349</t>
  </si>
  <si>
    <t>Samnaun.104402</t>
  </si>
  <si>
    <t>Villmergen.104218</t>
  </si>
  <si>
    <t>Pedrinate.104418</t>
  </si>
  <si>
    <t>Aeschau.101931</t>
  </si>
  <si>
    <t>Marsens.104390</t>
  </si>
  <si>
    <t>Olivone.102439</t>
  </si>
  <si>
    <t>Wölflinswil.101917</t>
  </si>
  <si>
    <t>Wittnau.101641</t>
  </si>
  <si>
    <t>Windisch.102677</t>
  </si>
  <si>
    <t>Bern.104337</t>
  </si>
  <si>
    <t>Bronschhofen.101273</t>
  </si>
  <si>
    <t>Buchs SG.101054</t>
  </si>
  <si>
    <t>Wil SG.101056</t>
  </si>
  <si>
    <t>Unterterzen.102726</t>
  </si>
  <si>
    <t>Saas Grund.102037</t>
  </si>
  <si>
    <t>Buchs.104419</t>
  </si>
  <si>
    <t>Thusis.103132</t>
  </si>
  <si>
    <t>Emmetten.104229</t>
  </si>
  <si>
    <t>Horgen.103657</t>
  </si>
  <si>
    <t>Horw.101928</t>
  </si>
  <si>
    <t>Sessa.104323</t>
  </si>
  <si>
    <t>Dagmersellen.101946</t>
  </si>
  <si>
    <t>Grippingen.101635</t>
  </si>
  <si>
    <t>Giubiasco.102278</t>
  </si>
  <si>
    <t>Kreuzlingen.103464</t>
  </si>
  <si>
    <t>Muotathal.102210</t>
  </si>
  <si>
    <t>Malters.103537</t>
  </si>
  <si>
    <t>Rossrüti.103757</t>
  </si>
  <si>
    <t>Zürich.103601</t>
  </si>
  <si>
    <t>Rothrist.102162</t>
  </si>
  <si>
    <t>Murg.102793</t>
  </si>
  <si>
    <t>Lyss.102694</t>
  </si>
  <si>
    <t>Savièse.102241</t>
  </si>
  <si>
    <t>Spiez.101955</t>
  </si>
  <si>
    <t>Maienfeld.101235</t>
  </si>
  <si>
    <t>Muhen.103896</t>
  </si>
  <si>
    <t>Richterswil.101736</t>
  </si>
  <si>
    <t>Chancy.103281</t>
  </si>
  <si>
    <t>Frauenfeld.102145</t>
  </si>
  <si>
    <t>Mels.102449</t>
  </si>
  <si>
    <t>Alpnachstad.102325</t>
  </si>
  <si>
    <t>Utzigen.102280</t>
  </si>
  <si>
    <t>Troistorrents.101992</t>
  </si>
  <si>
    <t>Pfaffnau.103989</t>
  </si>
  <si>
    <t>Kleinandelfingen.103710</t>
  </si>
  <si>
    <t>Trüllikon.104014</t>
  </si>
  <si>
    <t>Gryon.102679</t>
  </si>
  <si>
    <t>Buochs.102236</t>
  </si>
  <si>
    <t>Tenero.102642</t>
  </si>
  <si>
    <t>Vallamand.103988</t>
  </si>
  <si>
    <t>Schangnau.102146</t>
  </si>
  <si>
    <t>Thun.102561</t>
  </si>
  <si>
    <t>Martina.103073</t>
  </si>
  <si>
    <t>Engi.102733</t>
  </si>
  <si>
    <t>Gstaad.102220</t>
  </si>
  <si>
    <t>Cevio.102709</t>
  </si>
  <si>
    <t>Gossau.104075</t>
  </si>
  <si>
    <t>Aarberg.101913</t>
  </si>
  <si>
    <t>Sonogno.102759</t>
  </si>
  <si>
    <t>Döttingen.102593</t>
  </si>
  <si>
    <t>Berikon.103901</t>
  </si>
  <si>
    <t>Vacallo.103499</t>
  </si>
  <si>
    <t>Windisch.104107</t>
  </si>
  <si>
    <t>Baden.104219</t>
  </si>
  <si>
    <t>Lyss.103497</t>
  </si>
  <si>
    <t>Rudolfstetten.104238</t>
  </si>
  <si>
    <t>Bassersdorf.103264</t>
  </si>
  <si>
    <t>Malters.101704</t>
  </si>
  <si>
    <t>Samnaun.101209</t>
  </si>
  <si>
    <t>Basel.104239</t>
  </si>
  <si>
    <t>Zürich.103761</t>
  </si>
  <si>
    <t>Hemberg.103727</t>
  </si>
  <si>
    <t>Rothenthurm.104296</t>
  </si>
  <si>
    <t>Ormalingen.104372</t>
  </si>
  <si>
    <t>Bäch.101042</t>
  </si>
  <si>
    <t>Tegerfelden.103355</t>
  </si>
  <si>
    <t>Zollikon.104244</t>
  </si>
  <si>
    <t>Zofingen.103170</t>
  </si>
  <si>
    <t>Romanshorn.103113</t>
  </si>
  <si>
    <t>Güttingen.101223</t>
  </si>
  <si>
    <t>Pratteln.104256</t>
  </si>
  <si>
    <t>Gluringen.104264</t>
  </si>
  <si>
    <t>Basel.102751</t>
  </si>
  <si>
    <t>Sursee.104292</t>
  </si>
  <si>
    <t>Hundwil.101989</t>
  </si>
  <si>
    <t>Sementina.104325</t>
  </si>
  <si>
    <t>Ligornetto.104338</t>
  </si>
  <si>
    <t>Andeer.101649</t>
  </si>
  <si>
    <t>Gandria.104348</t>
  </si>
  <si>
    <t>Lanzenneunforn.103784</t>
  </si>
  <si>
    <t>Schönenwerd.102968</t>
  </si>
  <si>
    <t>Schmerikon.102486</t>
  </si>
  <si>
    <t>Bettingen.104354</t>
  </si>
  <si>
    <t>Dottikon.104329</t>
  </si>
  <si>
    <t>Steinebrunn.104328</t>
  </si>
  <si>
    <t>Oberkulm.101636</t>
  </si>
  <si>
    <t>Diessenhofen.104384</t>
  </si>
  <si>
    <t>Küssnacht.101243</t>
  </si>
  <si>
    <t>Peseux.104104</t>
  </si>
  <si>
    <t>Oberkulm.103313</t>
  </si>
  <si>
    <t>Nesslau.104397</t>
  </si>
  <si>
    <t>Bex.101620</t>
  </si>
  <si>
    <t>Ilanz.101757</t>
  </si>
  <si>
    <t>Mühleberg.101083</t>
  </si>
  <si>
    <t>Obersaxen.103628</t>
  </si>
  <si>
    <t>Chexbres.101024</t>
  </si>
  <si>
    <t>Gordola.103197</t>
  </si>
  <si>
    <t>Ins.102613</t>
  </si>
  <si>
    <t>Vals.104095</t>
  </si>
  <si>
    <t>Vals.104096</t>
  </si>
  <si>
    <t>Wollerau.102479</t>
  </si>
  <si>
    <t>Wollerau.103100</t>
  </si>
  <si>
    <t>Thalwil.103999</t>
  </si>
  <si>
    <t>Steffisburg.101855</t>
  </si>
  <si>
    <t>Thun.101858</t>
  </si>
  <si>
    <t>Hünibach.101856</t>
  </si>
  <si>
    <t>Thun.101857</t>
  </si>
  <si>
    <t>Mühlau.101202</t>
  </si>
  <si>
    <t>Hedingen.102080</t>
  </si>
  <si>
    <t>Splügen.101133</t>
  </si>
  <si>
    <t>Mägenwil.104142</t>
  </si>
  <si>
    <t>Aclens.101522</t>
  </si>
  <si>
    <t>Arzo.103088</t>
  </si>
  <si>
    <t>Glattfelden.103779</t>
  </si>
  <si>
    <t>Stansstad.102115</t>
  </si>
  <si>
    <t>Salmsach.104008</t>
  </si>
  <si>
    <t>Nottwil.102686</t>
  </si>
  <si>
    <t>Sachseln.102329</t>
  </si>
  <si>
    <t>Emmenbrücke.101897</t>
  </si>
  <si>
    <t>Luzern.101899</t>
  </si>
  <si>
    <t>Eschen.101193</t>
  </si>
  <si>
    <t>Olivone.103231</t>
  </si>
  <si>
    <t>Lupfig.102452</t>
  </si>
  <si>
    <t>Luzern.102502</t>
  </si>
  <si>
    <t>Ettiswil.103895</t>
  </si>
  <si>
    <t>Nesselnbach.101737</t>
  </si>
  <si>
    <t>Mammern.101837</t>
  </si>
  <si>
    <t>Eptingen.101860</t>
  </si>
  <si>
    <t>Boudry.101709</t>
  </si>
  <si>
    <t>Curio.102629</t>
  </si>
  <si>
    <t>Sumiswald.103558</t>
  </si>
  <si>
    <t>Melide.102546</t>
  </si>
  <si>
    <t>Zweisimmen.103233</t>
  </si>
  <si>
    <t>Sufers.102742</t>
  </si>
  <si>
    <t>Emmenbrücke.102558</t>
  </si>
  <si>
    <t>Läufelfingen.103356</t>
  </si>
  <si>
    <t>Saanen.104232</t>
  </si>
  <si>
    <t>Saanen.104234</t>
  </si>
  <si>
    <t>Mels.102464</t>
  </si>
  <si>
    <t>Willisau.101673</t>
  </si>
  <si>
    <t>Fischingen.103599</t>
  </si>
  <si>
    <t>Eriswil.102778</t>
  </si>
  <si>
    <t>Walterswil.103787</t>
  </si>
  <si>
    <t>Endingen.102276</t>
  </si>
  <si>
    <t>Wangs.102212</t>
  </si>
  <si>
    <t>Monteggio.103711</t>
  </si>
  <si>
    <t>Vouvry.101187</t>
  </si>
  <si>
    <t>Aigle.102390</t>
  </si>
  <si>
    <t>Laupen.102473</t>
  </si>
  <si>
    <t>Scuol.102795</t>
  </si>
  <si>
    <t>Auressio.102853</t>
  </si>
  <si>
    <t>Zofingen.102435</t>
  </si>
  <si>
    <t>Bleienbach.103036</t>
  </si>
  <si>
    <t>Näfels.102262</t>
  </si>
  <si>
    <t>Tuggen.101965</t>
  </si>
  <si>
    <t>Basel.101763</t>
  </si>
  <si>
    <t>Balterswil.103976</t>
  </si>
  <si>
    <t>Stans.102288</t>
  </si>
  <si>
    <t>Brusino.103172</t>
  </si>
  <si>
    <t>Oberlunkhofen.102285</t>
  </si>
  <si>
    <t>Donat.103202</t>
  </si>
  <si>
    <t>Andermatt.101879</t>
  </si>
  <si>
    <t>Heimberg.103573</t>
  </si>
  <si>
    <t>Grosswangen.104155</t>
  </si>
  <si>
    <t>KüssnachtAmRigi.104300</t>
  </si>
  <si>
    <t>Boltigen.101927</t>
  </si>
  <si>
    <t>Basel.104240</t>
  </si>
  <si>
    <t>Köln.101084</t>
  </si>
  <si>
    <t>Rotkreuz.104288</t>
  </si>
  <si>
    <t>Agno.104286</t>
  </si>
  <si>
    <t>SamnaunDorf.104274</t>
  </si>
  <si>
    <t>Trun.101117</t>
  </si>
  <si>
    <t>Leuzigen.104319</t>
  </si>
  <si>
    <t>Leimiswil.103149</t>
  </si>
  <si>
    <t>StPeterzell.104305</t>
  </si>
  <si>
    <t>LiCurt.103782</t>
  </si>
  <si>
    <t>NussbaumenAG.101655</t>
  </si>
  <si>
    <t>WeierimEmmental.103781</t>
  </si>
  <si>
    <t>CressierFR.101941</t>
  </si>
  <si>
    <t>BremgartenAG.102328</t>
  </si>
  <si>
    <t>SantaMaria.102293</t>
  </si>
  <si>
    <t>KirchbergBE.102362</t>
  </si>
  <si>
    <t>TeufenthalAG.102796</t>
  </si>
  <si>
    <t>WassenUR.103970</t>
  </si>
  <si>
    <t>SchinznachBad.101854</t>
  </si>
  <si>
    <t>WohlenAG.101175</t>
  </si>
  <si>
    <t>BrusinoArsizio.104339</t>
  </si>
  <si>
    <t>BrusinoArsizio.104350</t>
  </si>
  <si>
    <t>LeLocle.103033</t>
  </si>
  <si>
    <t>RickenbachLU.102797</t>
  </si>
  <si>
    <t>BrienzBE.101803</t>
  </si>
  <si>
    <t>WohlenAG.101963</t>
  </si>
  <si>
    <t>RoggwilBE.102283</t>
  </si>
  <si>
    <t>OnnensVD.103106</t>
  </si>
  <si>
    <t>OberrietSG.102503</t>
  </si>
  <si>
    <t>BadRagaz.102353</t>
  </si>
  <si>
    <t>BadRagaz.102354</t>
  </si>
  <si>
    <t>NiederwilAG.103228</t>
  </si>
  <si>
    <t>DavosPlatz.103104</t>
  </si>
  <si>
    <t>DavosPlatz.102266</t>
  </si>
  <si>
    <t>SteinamRhein.101172</t>
  </si>
  <si>
    <t>KriensObernau.101898</t>
  </si>
  <si>
    <t>AmlikonBissegg.103688</t>
  </si>
  <si>
    <t>EbnatKappel.102165</t>
  </si>
  <si>
    <t>BirrLupfig.104380</t>
  </si>
  <si>
    <t>BirrLupfig.104381</t>
  </si>
  <si>
    <t>LaTourdeTrême.102284</t>
  </si>
  <si>
    <t>OberwilLieli.101088</t>
  </si>
  <si>
    <t>FullReuenthal.103811</t>
  </si>
  <si>
    <t>HauteNendaz.102181</t>
  </si>
  <si>
    <t>VerslEglise.103649</t>
  </si>
  <si>
    <t>LiebefeldKöniz.101936</t>
  </si>
  <si>
    <t>SilsSeglMaria.104376</t>
  </si>
  <si>
    <t>CrestaAvers.101891</t>
  </si>
  <si>
    <t>StUrsen.101125</t>
  </si>
  <si>
    <t>LangnauiE.102036</t>
  </si>
  <si>
    <t>StStephan.101929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</si>
</sst>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42"/>
    <xf numFmtId="0" fontId="18" fillId="0" borderId="0" xfId="42" applyNumberFormat="1"/>
    <xf numFmtId="0" fontId="0" fillId="0" borderId="0" xfId="0" applyNumberFormat="1"/>
    <xf numFmtId="4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12A601-C447-4DD3-9211-2097F0DC17F5}" name="Table3" displayName="Table3" ref="A1:I252" totalsRowShown="0">
  <autoFilter ref="A1:I252" xr:uid="{2F12A601-C447-4DD3-9211-2097F0DC17F5}">
    <filterColumn colId="2">
      <filters>
        <filter val="Active"/>
      </filters>
    </filterColumn>
    <filterColumn colId="3">
      <filters>
        <filter val="0"/>
      </filters>
    </filterColumn>
    <filterColumn colId="4">
      <filters>
        <filter val="STATION"/>
        <filter val="VPN"/>
      </filters>
    </filterColumn>
  </autoFilter>
  <sortState xmlns:xlrd2="http://schemas.microsoft.com/office/spreadsheetml/2017/richdata2" ref="A2:F252">
    <sortCondition ref="E1:E252"/>
  </sortState>
  <tableColumns count="9">
    <tableColumn id="1" xr3:uid="{3B3F4540-EAF8-40A3-AF2F-E387BD7D6F28}" name="JobNr"/>
    <tableColumn id="3" xr3:uid="{B747907B-4175-4157-BE2A-A5124DB8A7A9}" name="ID/Link" dataDxfId="10" dataCellStyle="Hyperlink">
      <calculatedColumnFormula>HYPERLINK("https://ipam.lantzerath-group.com/dcim/sites/"&amp;VLOOKUP(A2,Table2[],2,FALSE),VLOOKUP(A2,Table2[],2,FALSE))</calculatedColumnFormula>
    </tableColumn>
    <tableColumn id="7" xr3:uid="{758E9DD9-FD94-46C6-8830-2634019D55BD}" name="Netbox Status" dataDxfId="9">
      <calculatedColumnFormula>VLOOKUP(A2,Table2[],3,FALSE)</calculatedColumnFormula>
    </tableColumn>
    <tableColumn id="8" xr3:uid="{9F5A50DB-D997-4FD7-81D2-32544D0508C6}" name="CiRRUS Status" dataDxfId="8">
      <calculatedColumnFormula>VLOOKUP(A2,Table2[],8,FALSE)</calculatedColumnFormula>
    </tableColumn>
    <tableColumn id="4" xr3:uid="{D7B32381-D889-4263-B3CA-8E8E4F7DA1AE}" name="Tenant" dataDxfId="7">
      <calculatedColumnFormula>VLOOKUP(A2,Table2[],4,FALSE)</calculatedColumnFormula>
    </tableColumn>
    <tableColumn id="5" xr3:uid="{C705C296-3FCA-4D53-BBEF-2ACD52755759}" name="Name" dataDxfId="6">
      <calculatedColumnFormula>VLOOKUP(A2,Table2[],5,FALSE)</calculatedColumnFormula>
    </tableColumn>
    <tableColumn id="9" xr3:uid="{730FC6FB-84EC-4447-86DB-D4D0B892E855}" name="Rollout Status" dataDxfId="5"/>
    <tableColumn id="2" xr3:uid="{76E6A8B3-96EE-4C38-93E7-5EBFC9169FD6}" name="GenerateSecret" dataDxfId="2"/>
    <tableColumn id="6" xr3:uid="{6504AC69-1BCD-4E5D-9A6D-79C2C2F6DCFF}" name="FolderNam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7E13CF-B53B-49B6-851C-8690E788B2B3}" name="Table4" displayName="Table4" ref="A1:H62" totalsRowShown="0">
  <autoFilter ref="A1:H62" xr:uid="{7A7E13CF-B53B-49B6-851C-8690E788B2B3}"/>
  <tableColumns count="8">
    <tableColumn id="1" xr3:uid="{00467590-EA9B-443D-8BAE-8CCA41368E0B}" name="#"/>
    <tableColumn id="2" xr3:uid="{8FE5F691-8FCB-4C4C-99BB-16C812DD242D}" name="Status"/>
    <tableColumn id="3" xr3:uid="{A47B0E2A-B21B-41BF-B3CF-B6E03ADE1931}" name="Name"/>
    <tableColumn id="4" xr3:uid="{F4ADE31C-34FB-4D06-B33D-0079C1F709E9}" name="VPN Gateway"/>
    <tableColumn id="5" xr3:uid="{36286E0A-9B3F-4FE0-9603-17730E1E5E46}" name="Encapsulation"/>
    <tableColumn id="6" xr3:uid="{08EEAB65-A96F-4B8F-A9BF-DB87557794B2}" name="Algorithm"/>
    <tableColumn id="7" xr3:uid="{AEDD9472-B7D6-4BCC-A6CC-355DAFB8495E}" name="Policy"/>
    <tableColumn id="8" xr3:uid="{BDA2A29A-3AB8-4062-BA38-8623561953BD}" name="JobNr" dataDxfId="4">
      <calculatedColumnFormula>--_xlfn.TEXTBEFORE(_xlfn.TEXTAFTER(Table4[[#This Row],[Name]],"-"),"_")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EA3D81-C0ED-4B79-90A7-4578F9065600}" name="Table5" displayName="Table5" ref="A1:H61" totalsRowShown="0">
  <autoFilter ref="A1:H61" xr:uid="{60EA3D81-C0ED-4B79-90A7-4578F9065600}"/>
  <tableColumns count="8">
    <tableColumn id="1" xr3:uid="{FE54051B-C9E0-43D2-BE81-39F455FEF4E3}" name="#"/>
    <tableColumn id="2" xr3:uid="{8DEE0B05-6C50-42D4-A9BB-E83CBAA398D8}" name="Status"/>
    <tableColumn id="3" xr3:uid="{58A0CAAD-4DC0-443F-84E9-F6CA5E40AC29}" name="Name"/>
    <tableColumn id="4" xr3:uid="{B5805BDB-EA14-45B4-9E08-27E4E224F7FE}" name="VPN Gateway"/>
    <tableColumn id="5" xr3:uid="{1E0E0C90-08BB-4DD6-90E4-92C3F4DD6938}" name="Encapsulation"/>
    <tableColumn id="6" xr3:uid="{122C6EF6-013E-419E-BD32-933D7327B9CA}" name="Algorithm"/>
    <tableColumn id="7" xr3:uid="{8011EA34-124A-4AEC-8A98-C36D0E583732}" name="Policy"/>
    <tableColumn id="8" xr3:uid="{40386C46-A063-4FF2-A164-A796969902BC}" name="JobNr" dataDxfId="3">
      <calculatedColumnFormula>--_xlfn.TEXTBEFORE(_xlfn.TEXTAFTER(Table5[[#This Row],[Name]],"-"),"_")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70D75D-DF77-41CA-96A3-C0C8A7BB24E0}" name="Table1" displayName="Table1" ref="A1:G150" totalsRowShown="0">
  <autoFilter ref="A1:G150" xr:uid="{5C70D75D-DF77-41CA-96A3-C0C8A7BB24E0}">
    <filterColumn colId="1">
      <filters>
        <filter val="101024"/>
        <filter val="101054"/>
        <filter val="101056"/>
        <filter val="101083"/>
        <filter val="101088"/>
        <filter val="101095"/>
        <filter val="101125"/>
        <filter val="101133"/>
        <filter val="101172"/>
        <filter val="101187"/>
        <filter val="101193"/>
        <filter val="101202"/>
        <filter val="101243"/>
        <filter val="101273"/>
        <filter val="101522"/>
        <filter val="101620"/>
        <filter val="101641"/>
        <filter val="101673"/>
        <filter val="101709"/>
        <filter val="101737"/>
        <filter val="101757"/>
        <filter val="101763"/>
        <filter val="101803"/>
        <filter val="101837"/>
        <filter val="101855"/>
        <filter val="101856"/>
        <filter val="101857"/>
        <filter val="101858"/>
        <filter val="101860"/>
        <filter val="101891"/>
        <filter val="101897"/>
        <filter val="101898"/>
        <filter val="101899"/>
        <filter val="101917"/>
        <filter val="101929"/>
        <filter val="101931"/>
        <filter val="101963"/>
        <filter val="101965"/>
        <filter val="102015"/>
        <filter val="102036"/>
        <filter val="102037"/>
        <filter val="102054"/>
        <filter val="102056"/>
        <filter val="102080"/>
        <filter val="102115"/>
        <filter val="102162"/>
        <filter val="102181"/>
        <filter val="102212"/>
        <filter val="102262"/>
        <filter val="102263"/>
        <filter val="102266"/>
        <filter val="102276"/>
        <filter val="102283"/>
        <filter val="102284"/>
        <filter val="102288"/>
        <filter val="102329"/>
        <filter val="102353"/>
        <filter val="102354"/>
        <filter val="102390"/>
        <filter val="102435"/>
        <filter val="102439"/>
        <filter val="102452"/>
        <filter val="102464"/>
        <filter val="102473"/>
        <filter val="102479"/>
        <filter val="102502"/>
        <filter val="102503"/>
        <filter val="102546"/>
        <filter val="102558"/>
        <filter val="102613"/>
        <filter val="102629"/>
        <filter val="102677"/>
        <filter val="102686"/>
        <filter val="102726"/>
        <filter val="102742"/>
        <filter val="102778"/>
        <filter val="102795"/>
        <filter val="102797"/>
        <filter val="102853"/>
        <filter val="103036"/>
        <filter val="103088"/>
        <filter val="103100"/>
        <filter val="103104"/>
        <filter val="103106"/>
        <filter val="103132"/>
        <filter val="103149"/>
        <filter val="103197"/>
        <filter val="103203"/>
        <filter val="103228"/>
        <filter val="103231"/>
        <filter val="103233"/>
        <filter val="103313"/>
        <filter val="103318"/>
        <filter val="103356"/>
        <filter val="103558"/>
        <filter val="103599"/>
        <filter val="103628"/>
        <filter val="103648"/>
        <filter val="103649"/>
        <filter val="103711"/>
        <filter val="103757"/>
        <filter val="103779"/>
        <filter val="103787"/>
        <filter val="103811"/>
        <filter val="103895"/>
        <filter val="103899"/>
        <filter val="103976"/>
        <filter val="103999"/>
        <filter val="104008"/>
        <filter val="104026"/>
        <filter val="104029"/>
        <filter val="104095"/>
        <filter val="104096"/>
        <filter val="104104"/>
        <filter val="104142"/>
        <filter val="104167"/>
        <filter val="104218"/>
        <filter val="104232"/>
        <filter val="104234"/>
        <filter val="104260"/>
        <filter val="104305"/>
        <filter val="104337"/>
        <filter val="104390"/>
        <filter val="104392"/>
        <filter val="104397"/>
        <filter val="104402"/>
        <filter val="104408"/>
        <filter val="104410"/>
        <filter val="104411"/>
        <filter val="104412"/>
        <filter val="104414"/>
        <filter val="104418"/>
        <filter val="104419"/>
        <filter val="104489"/>
        <filter val="104490"/>
        <filter val="107777"/>
        <filter val="666666"/>
      </filters>
    </filterColumn>
  </autoFilter>
  <tableColumns count="7">
    <tableColumn id="1" xr3:uid="{CC6F8142-1750-4965-9D06-6C42D0D3AA0D}" name="Connection"/>
    <tableColumn id="2" xr3:uid="{14DEECE2-E879-44C2-86DD-0625D46F7CFF}" name="JobNumber"/>
    <tableColumn id="3" xr3:uid="{C4B6E34A-11FE-41EF-85B4-8C1AA68C11F7}" name="AzurePrefix"/>
    <tableColumn id="4" xr3:uid="{3BDB4585-19AE-4284-9446-154F0490A82F}" name="IpamPrefix"/>
    <tableColumn id="5" xr3:uid="{AEAD8CF4-5F6E-46CA-A63D-48DC2AB8A8C0}" name="IpamSite"/>
    <tableColumn id="6" xr3:uid="{920A0E44-26CB-4106-B915-C94E36EC6045}" name="SiteUrl"/>
    <tableColumn id="7" xr3:uid="{9D57A34B-73BC-4253-A8A5-E03781960CA4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9309A7-7FB9-4A14-BE99-6F917CCB6D61}" name="Table2" displayName="Table2" ref="A1:M2796" totalsRowShown="0">
  <autoFilter ref="A1:M2796" xr:uid="{839309A7-7FB9-4A14-BE99-6F917CCB6D61}"/>
  <tableColumns count="13">
    <tableColumn id="1" xr3:uid="{6EDAE395-2E11-4394-B727-652318BBA513}" name="Job-Number"/>
    <tableColumn id="2" xr3:uid="{E8AF20E8-F030-4F99-8CFB-26DA1D594C40}" name="ID"/>
    <tableColumn id="3" xr3:uid="{CFE0460F-CE16-4C60-A3EA-F1E9ED4ACF37}" name="Status"/>
    <tableColumn id="4" xr3:uid="{B1C6D55C-ABCE-44CE-BBA7-F87B3D14FA7B}" name="Tenant"/>
    <tableColumn id="5" xr3:uid="{6CD44BB5-9012-4485-9929-DA75C3017034}" name="Name"/>
    <tableColumn id="6" xr3:uid="{10CEDF1E-EE3B-437A-ADC1-BE06601538BF}" name="External-ID"/>
    <tableColumn id="7" xr3:uid="{C267D285-9169-4919-BD7E-C1E9CA7DD1DD}" name="BiCA-ERP-NR"/>
    <tableColumn id="8" xr3:uid="{6253EEC1-D628-41F7-8285-EEA8DBAE76E7}" name="CiRRUS-Status"/>
    <tableColumn id="9" xr3:uid="{93B3B08A-777F-411F-A271-8C6E34DF435A}" name="CiRRUS-Business-Site-ID"/>
    <tableColumn id="10" xr3:uid="{31417A8E-C9D4-475F-9A4A-167DC0D64891}" name="CiRRUS-Cluster-Site-ID"/>
    <tableColumn id="11" xr3:uid="{042EEDD4-D73D-4B4E-AF81-5C0EFB9401CE}" name="Tags"/>
    <tableColumn id="12" xr3:uid="{3B397B8F-F9B1-45B5-BEC6-57EB7B02E2B2}" name="Language"/>
    <tableColumn id="13" xr3:uid="{CBE1EF67-7F27-431F-A24C-FA11FCD3E1D2}" name="CiRRUS-Site-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80F11-B836-4AD1-8921-C17F230E76B4}">
  <dimension ref="A1:I252"/>
  <sheetViews>
    <sheetView tabSelected="1" topLeftCell="A141" workbookViewId="0">
      <selection activeCell="E148" sqref="E148"/>
    </sheetView>
  </sheetViews>
  <sheetFormatPr defaultRowHeight="14.5" x14ac:dyDescent="0.35"/>
  <cols>
    <col min="2" max="2" width="9.1796875" bestFit="1" customWidth="1"/>
    <col min="3" max="3" width="14.7265625" bestFit="1" customWidth="1"/>
    <col min="4" max="4" width="15.453125" bestFit="1" customWidth="1"/>
    <col min="5" max="5" width="31.7265625" bestFit="1" customWidth="1"/>
    <col min="6" max="6" width="75.1796875" bestFit="1" customWidth="1"/>
    <col min="7" max="7" width="49.453125" customWidth="1"/>
    <col min="8" max="8" width="16.1796875" bestFit="1" customWidth="1"/>
    <col min="9" max="9" width="30.6328125" customWidth="1"/>
  </cols>
  <sheetData>
    <row r="1" spans="1:9" x14ac:dyDescent="0.35">
      <c r="A1" t="s">
        <v>4316</v>
      </c>
      <c r="B1" t="s">
        <v>4317</v>
      </c>
      <c r="C1" t="s">
        <v>4318</v>
      </c>
      <c r="D1" t="s">
        <v>4319</v>
      </c>
      <c r="E1" t="s">
        <v>587</v>
      </c>
      <c r="F1" t="s">
        <v>588</v>
      </c>
      <c r="G1" t="s">
        <v>4685</v>
      </c>
      <c r="H1" t="s">
        <v>4687</v>
      </c>
      <c r="I1" t="s">
        <v>4688</v>
      </c>
    </row>
    <row r="2" spans="1:9" hidden="1" x14ac:dyDescent="0.35">
      <c r="A2">
        <v>104412</v>
      </c>
      <c r="B2" s="1">
        <f>HYPERLINK("https://ipam.lantzerath-group.com/dcim/sites/"&amp;VLOOKUP(A2,Table2[],2,FALSE),VLOOKUP(A2,Table2[],2,FALSE))</f>
        <v>3491</v>
      </c>
      <c r="C2" t="str">
        <f>VLOOKUP(A2,Table2[],3,FALSE)</f>
        <v>Active</v>
      </c>
      <c r="D2" t="str">
        <f>VLOOKUP(A2,Table2[],8,FALSE)</f>
        <v>Full</v>
      </c>
      <c r="E2" t="str">
        <f>VLOOKUP(A2,Table2[],4,FALSE)</f>
        <v>7 Day-Shop AG</v>
      </c>
      <c r="F2" t="str">
        <f>VLOOKUP(A2,Table2[],5,FALSE)</f>
        <v>7 Day-Shop AG - Cordulapassage 1 - 5400 Baden - 104412</v>
      </c>
      <c r="H2" s="3"/>
      <c r="I2" s="3" t="s">
        <v>4689</v>
      </c>
    </row>
    <row r="3" spans="1:9" hidden="1" x14ac:dyDescent="0.35">
      <c r="A3">
        <v>104414</v>
      </c>
      <c r="B3" s="1">
        <f>HYPERLINK("https://ipam.lantzerath-group.com/dcim/sites/"&amp;VLOOKUP(A3,Table2[],2,FALSE),VLOOKUP(A3,Table2[],2,FALSE))</f>
        <v>3493</v>
      </c>
      <c r="C3" t="str">
        <f>VLOOKUP(A3,Table2[],3,FALSE)</f>
        <v>Active</v>
      </c>
      <c r="D3" t="str">
        <f>VLOOKUP(A3,Table2[],8,FALSE)</f>
        <v>Full</v>
      </c>
      <c r="E3" t="str">
        <f>VLOOKUP(A3,Table2[],4,FALSE)</f>
        <v>7 Day-Shop AG</v>
      </c>
      <c r="F3" t="str">
        <f>VLOOKUP(A3,Table2[],5,FALSE)</f>
        <v>7 Day-Shop AG - Niederdorfstrasse 58 - 8001 Zürich - 104414</v>
      </c>
      <c r="H3" s="3"/>
      <c r="I3" s="3" t="s">
        <v>4690</v>
      </c>
    </row>
    <row r="4" spans="1:9" hidden="1" x14ac:dyDescent="0.35">
      <c r="A4">
        <v>104411</v>
      </c>
      <c r="B4" s="1">
        <f>HYPERLINK("https://ipam.lantzerath-group.com/dcim/sites/"&amp;VLOOKUP(A4,Table2[],2,FALSE),VLOOKUP(A4,Table2[],2,FALSE))</f>
        <v>3490</v>
      </c>
      <c r="C4" t="str">
        <f>VLOOKUP(A4,Table2[],3,FALSE)</f>
        <v>Active</v>
      </c>
      <c r="D4" t="str">
        <f>VLOOKUP(A4,Table2[],8,FALSE)</f>
        <v>Full</v>
      </c>
      <c r="E4" t="str">
        <f>VLOOKUP(A4,Table2[],4,FALSE)</f>
        <v>7 Day-Shop AG</v>
      </c>
      <c r="F4" t="str">
        <f>VLOOKUP(A4,Table2[],5,FALSE)</f>
        <v>7 Day-Shop AG - Rüdenplatz 1 - 8001 Zürich - 104411</v>
      </c>
      <c r="H4" s="3"/>
      <c r="I4" s="3" t="s">
        <v>4691</v>
      </c>
    </row>
    <row r="5" spans="1:9" hidden="1" x14ac:dyDescent="0.35">
      <c r="A5">
        <v>104410</v>
      </c>
      <c r="B5" s="1">
        <f>HYPERLINK("https://ipam.lantzerath-group.com/dcim/sites/"&amp;VLOOKUP(A5,Table2[],2,FALSE),VLOOKUP(A5,Table2[],2,FALSE))</f>
        <v>3489</v>
      </c>
      <c r="C5" t="str">
        <f>VLOOKUP(A5,Table2[],3,FALSE)</f>
        <v>Active</v>
      </c>
      <c r="D5" t="str">
        <f>VLOOKUP(A5,Table2[],8,FALSE)</f>
        <v>Full</v>
      </c>
      <c r="E5" t="str">
        <f>VLOOKUP(A5,Table2[],4,FALSE)</f>
        <v>7 Day-Shop AG</v>
      </c>
      <c r="F5" t="str">
        <f>VLOOKUP(A5,Table2[],5,FALSE)</f>
        <v>7 Day-Shop AG - Niederdorfstrasse 11 - 8001 Zürich - 104410</v>
      </c>
      <c r="H5" s="3"/>
      <c r="I5" s="3" t="s">
        <v>4692</v>
      </c>
    </row>
    <row r="6" spans="1:9" hidden="1" x14ac:dyDescent="0.35">
      <c r="A6">
        <v>104489</v>
      </c>
      <c r="B6" s="1">
        <f>HYPERLINK("https://ipam.lantzerath-group.com/dcim/sites/"&amp;VLOOKUP(A6,Table2[],2,FALSE),VLOOKUP(A6,Table2[],2,FALSE))</f>
        <v>3534</v>
      </c>
      <c r="C6" t="str">
        <f>VLOOKUP(A6,Table2[],3,FALSE)</f>
        <v>Active</v>
      </c>
      <c r="D6" t="str">
        <f>VLOOKUP(A6,Table2[],8,FALSE)</f>
        <v>Full</v>
      </c>
      <c r="E6" t="str">
        <f>VLOOKUP(A6,Table2[],4,FALSE)</f>
        <v>7 Day-Shop AG</v>
      </c>
      <c r="F6" t="str">
        <f>VLOOKUP(A6,Table2[],5,FALSE)</f>
        <v>7 Day-Shop AG - Schifflände 26 - 8001 Zürich - 104489</v>
      </c>
      <c r="H6" s="3"/>
      <c r="I6" s="3" t="s">
        <v>4693</v>
      </c>
    </row>
    <row r="7" spans="1:9" hidden="1" x14ac:dyDescent="0.35">
      <c r="A7">
        <v>102056</v>
      </c>
      <c r="B7" s="1">
        <f>HYPERLINK("https://ipam.lantzerath-group.com/dcim/sites/"&amp;VLOOKUP(A7,Table2[],2,FALSE),VLOOKUP(A7,Table2[],2,FALSE))</f>
        <v>2347</v>
      </c>
      <c r="C7" t="str">
        <f>VLOOKUP(A7,Table2[],3,FALSE)</f>
        <v>Active</v>
      </c>
      <c r="D7" t="str">
        <f>VLOOKUP(A7,Table2[],8,FALSE)</f>
        <v>Full</v>
      </c>
      <c r="E7" t="str">
        <f>VLOOKUP(A7,Table2[],4,FALSE)</f>
        <v>Arnold Mühlebach</v>
      </c>
      <c r="F7" t="str">
        <f>VLOOKUP(A7,Table2[],5,FALSE)</f>
        <v>Arnold Mühlebach - Zürichstrasse 15 - 5330 Bad Zurzach - 102056</v>
      </c>
      <c r="H7" s="3"/>
      <c r="I7" s="3" t="s">
        <v>4694</v>
      </c>
    </row>
    <row r="8" spans="1:9" hidden="1" x14ac:dyDescent="0.35">
      <c r="A8">
        <v>102054</v>
      </c>
      <c r="B8" s="1">
        <f>HYPERLINK("https://ipam.lantzerath-group.com/dcim/sites/"&amp;VLOOKUP(A8,Table2[],2,FALSE),VLOOKUP(A8,Table2[],2,FALSE))</f>
        <v>2346</v>
      </c>
      <c r="C8" t="str">
        <f>VLOOKUP(A8,Table2[],3,FALSE)</f>
        <v>Active</v>
      </c>
      <c r="D8" t="str">
        <f>VLOOKUP(A8,Table2[],8,FALSE)</f>
        <v>Full</v>
      </c>
      <c r="E8" t="str">
        <f>VLOOKUP(A8,Table2[],4,FALSE)</f>
        <v>Bahnhof-Garage Giuseppe Quaratiello</v>
      </c>
      <c r="F8" t="str">
        <f>VLOOKUP(A8,Table2[],5,FALSE)</f>
        <v>Bahnhof-Garage - Bahnhofplatz 10 - 4806 Wikon - 102054</v>
      </c>
      <c r="H8" s="3"/>
      <c r="I8" s="3" t="s">
        <v>4695</v>
      </c>
    </row>
    <row r="9" spans="1:9" hidden="1" x14ac:dyDescent="0.35">
      <c r="A9">
        <v>104167</v>
      </c>
      <c r="B9" s="1">
        <f>HYPERLINK("https://ipam.lantzerath-group.com/dcim/sites/"&amp;VLOOKUP(A9,Table2[],2,FALSE),VLOOKUP(A9,Table2[],2,FALSE))</f>
        <v>2662</v>
      </c>
      <c r="C9" t="str">
        <f>VLOOKUP(A9,Table2[],3,FALSE)</f>
        <v>Active</v>
      </c>
      <c r="D9" t="str">
        <f>VLOOKUP(A9,Table2[],8,FALSE)</f>
        <v>Full</v>
      </c>
      <c r="E9" t="str">
        <f>VLOOKUP(A9,Table2[],4,FALSE)</f>
        <v>Bahnhofgarage Oberdiessbach AG</v>
      </c>
      <c r="F9" t="str">
        <f>VLOOKUP(A9,Table2[],5,FALSE)</f>
        <v>Bahnhofgarage Oberdiessbach AG - Bahnhofstrasse 9 - 3672 Oberdiessbach - 104167</v>
      </c>
      <c r="H9" s="3"/>
      <c r="I9" s="3" t="s">
        <v>4696</v>
      </c>
    </row>
    <row r="10" spans="1:9" hidden="1" x14ac:dyDescent="0.35">
      <c r="A10">
        <v>107777</v>
      </c>
      <c r="B10" s="1">
        <f>HYPERLINK("https://ipam.lantzerath-group.com/dcim/sites/"&amp;VLOOKUP(A10,Table2[],2,FALSE),VLOOKUP(A10,Table2[],2,FALSE))</f>
        <v>3497</v>
      </c>
      <c r="C10" t="str">
        <f>VLOOKUP(A10,Table2[],3,FALSE)</f>
        <v>Active</v>
      </c>
      <c r="D10">
        <f>VLOOKUP(A10,Table2[],8,FALSE)</f>
        <v>0</v>
      </c>
      <c r="E10" t="str">
        <f>VLOOKUP(A10,Table2[],4,FALSE)</f>
        <v>BiCA - Infrastructure</v>
      </c>
      <c r="F10" t="str">
        <f>VLOOKUP(A10,Table2[],5,FALSE)</f>
        <v>Operations Test Site Rothenburg - 107777</v>
      </c>
      <c r="H10" s="3"/>
      <c r="I10" s="3"/>
    </row>
    <row r="11" spans="1:9" hidden="1" x14ac:dyDescent="0.35">
      <c r="A11">
        <v>103203</v>
      </c>
      <c r="B11" s="1">
        <f>HYPERLINK("https://ipam.lantzerath-group.com/dcim/sites/"&amp;VLOOKUP(A11,Table2[],2,FALSE),VLOOKUP(A11,Table2[],2,FALSE))</f>
        <v>2504</v>
      </c>
      <c r="C11" t="str">
        <f>VLOOKUP(A11,Table2[],3,FALSE)</f>
        <v>Active</v>
      </c>
      <c r="D11" t="str">
        <f>VLOOKUP(A11,Table2[],8,FALSE)</f>
        <v>Full</v>
      </c>
      <c r="E11" t="str">
        <f>VLOOKUP(A11,Table2[],4,FALSE)</f>
        <v>Bolliger Tanken GmbH</v>
      </c>
      <c r="F11" t="str">
        <f>VLOOKUP(A11,Table2[],5,FALSE)</f>
        <v>Bolliger Tanken GmbH - Dorfstrasse 41 - 5727 Oberkulm - 103203</v>
      </c>
      <c r="H11" s="3"/>
      <c r="I11" s="3" t="s">
        <v>4697</v>
      </c>
    </row>
    <row r="12" spans="1:9" hidden="1" x14ac:dyDescent="0.35">
      <c r="A12">
        <v>104029</v>
      </c>
      <c r="B12" s="1">
        <f>HYPERLINK("https://ipam.lantzerath-group.com/dcim/sites/"&amp;VLOOKUP(A12,Table2[],2,FALSE),VLOOKUP(A12,Table2[],2,FALSE))</f>
        <v>2605</v>
      </c>
      <c r="C12" t="str">
        <f>VLOOKUP(A12,Table2[],3,FALSE)</f>
        <v>Active</v>
      </c>
      <c r="D12" t="str">
        <f>VLOOKUP(A12,Table2[],8,FALSE)</f>
        <v>Full</v>
      </c>
      <c r="E12" t="str">
        <f>VLOOKUP(A12,Table2[],4,FALSE)</f>
        <v>Büezer Bistro &amp; Tankstelle GmbH</v>
      </c>
      <c r="F12" t="str">
        <f>VLOOKUP(A12,Table2[],5,FALSE)</f>
        <v>Büezer Bistro &amp; Tankstelle GmbH - Anglikerstrasse 83 - 5612 Villmergen - 104029</v>
      </c>
      <c r="H12" s="3"/>
      <c r="I12" s="3" t="s">
        <v>4698</v>
      </c>
    </row>
    <row r="13" spans="1:9" hidden="1" x14ac:dyDescent="0.35">
      <c r="A13">
        <v>101095</v>
      </c>
      <c r="B13" s="1">
        <f>HYPERLINK("https://ipam.lantzerath-group.com/dcim/sites/"&amp;VLOOKUP(A13,Table2[],2,FALSE),VLOOKUP(A13,Table2[],2,FALSE))</f>
        <v>2238</v>
      </c>
      <c r="C13" t="str">
        <f>VLOOKUP(A13,Table2[],3,FALSE)</f>
        <v>Active</v>
      </c>
      <c r="D13" t="str">
        <f>VLOOKUP(A13,Table2[],8,FALSE)</f>
        <v>Full</v>
      </c>
      <c r="E13" t="str">
        <f>VLOOKUP(A13,Table2[],4,FALSE)</f>
        <v>C Bauunternehmung Centorame AG</v>
      </c>
      <c r="F13" t="str">
        <f>VLOOKUP(A13,Table2[],5,FALSE)</f>
        <v>C Bauunternehmung - Parfugga 12 - 7493 Schmitten - 101095</v>
      </c>
      <c r="H13" s="3"/>
      <c r="I13" s="3" t="s">
        <v>4699</v>
      </c>
    </row>
    <row r="14" spans="1:9" hidden="1" x14ac:dyDescent="0.35">
      <c r="A14">
        <v>104408</v>
      </c>
      <c r="B14" s="1">
        <f>HYPERLINK("https://ipam.lantzerath-group.com/dcim/sites/"&amp;VLOOKUP(A14,Table2[],2,FALSE),VLOOKUP(A14,Table2[],2,FALSE))</f>
        <v>3482</v>
      </c>
      <c r="C14" t="str">
        <f>VLOOKUP(A14,Table2[],3,FALSE)</f>
        <v>Active</v>
      </c>
      <c r="D14" t="str">
        <f>VLOOKUP(A14,Table2[],8,FALSE)</f>
        <v>Full</v>
      </c>
      <c r="E14" t="str">
        <f>VLOOKUP(A14,Table2[],4,FALSE)</f>
        <v>Dorfkiosk Eschi GmbH</v>
      </c>
      <c r="F14" t="str">
        <f>VLOOKUP(A14,Table2[],5,FALSE)</f>
        <v>Dorfkiosk Eschi GmbH - Dorfstrasse 17 - 8733 Eschenbach - 104408</v>
      </c>
      <c r="H14" s="3"/>
      <c r="I14" s="3" t="s">
        <v>4700</v>
      </c>
    </row>
    <row r="15" spans="1:9" hidden="1" x14ac:dyDescent="0.35">
      <c r="A15">
        <v>103648</v>
      </c>
      <c r="B15" s="1">
        <f>HYPERLINK("https://ipam.lantzerath-group.com/dcim/sites/"&amp;VLOOKUP(A15,Table2[],2,FALSE),VLOOKUP(A15,Table2[],2,FALSE))</f>
        <v>2554</v>
      </c>
      <c r="C15" t="str">
        <f>VLOOKUP(A15,Table2[],3,FALSE)</f>
        <v>Active</v>
      </c>
      <c r="D15" t="str">
        <f>VLOOKUP(A15,Table2[],8,FALSE)</f>
        <v>Full</v>
      </c>
      <c r="E15" t="str">
        <f>VLOOKUP(A15,Table2[],4,FALSE)</f>
        <v>Garage Elite Courtepin SA</v>
      </c>
      <c r="F15" t="str">
        <f>VLOOKUP(A15,Table2[],5,FALSE)</f>
        <v>Garage Elite SA - Route de Fribourg 67 - 1784 Courtepin - 103648</v>
      </c>
      <c r="H15" s="3"/>
      <c r="I15" s="3" t="s">
        <v>4701</v>
      </c>
    </row>
    <row r="16" spans="1:9" hidden="1" x14ac:dyDescent="0.35">
      <c r="A16">
        <v>102015</v>
      </c>
      <c r="B16" s="1">
        <f>HYPERLINK("https://ipam.lantzerath-group.com/dcim/sites/"&amp;VLOOKUP(A16,Table2[],2,FALSE),VLOOKUP(A16,Table2[],2,FALSE))</f>
        <v>2342</v>
      </c>
      <c r="C16" t="str">
        <f>VLOOKUP(A16,Table2[],3,FALSE)</f>
        <v>Active</v>
      </c>
      <c r="D16" t="str">
        <f>VLOOKUP(A16,Table2[],8,FALSE)</f>
        <v>Full</v>
      </c>
      <c r="E16" t="str">
        <f>VLOOKUP(A16,Table2[],4,FALSE)</f>
        <v>Garage Maison Blanche SA</v>
      </c>
      <c r="F16" t="str">
        <f>VLOOKUP(A16,Table2[],5,FALSE)</f>
        <v>Garage Maison Blanche- 1284 Chancy - 102015</v>
      </c>
      <c r="H16" s="3"/>
      <c r="I16" s="3" t="s">
        <v>4702</v>
      </c>
    </row>
    <row r="17" spans="1:9" hidden="1" x14ac:dyDescent="0.35">
      <c r="A17">
        <v>104392</v>
      </c>
      <c r="B17" s="1">
        <f>HYPERLINK("https://ipam.lantzerath-group.com/dcim/sites/"&amp;VLOOKUP(A17,Table2[],2,FALSE),VLOOKUP(A17,Table2[],2,FALSE))</f>
        <v>3387</v>
      </c>
      <c r="C17" t="str">
        <f>VLOOKUP(A17,Table2[],3,FALSE)</f>
        <v>Active</v>
      </c>
      <c r="D17" t="str">
        <f>VLOOKUP(A17,Table2[],8,FALSE)</f>
        <v>Full</v>
      </c>
      <c r="E17" t="str">
        <f>VLOOKUP(A17,Table2[],4,FALSE)</f>
        <v>Gioia Combustibili SA</v>
      </c>
      <c r="F17" t="str">
        <f>VLOOKUP(A17,Table2[],5,FALSE)</f>
        <v>Gioia - Strada Cantonale 3 - 6989 Purasca - 104392</v>
      </c>
      <c r="H17" s="3"/>
      <c r="I17" s="3" t="s">
        <v>4703</v>
      </c>
    </row>
    <row r="18" spans="1:9" hidden="1" x14ac:dyDescent="0.35">
      <c r="A18">
        <v>104260</v>
      </c>
      <c r="B18" s="1">
        <f>HYPERLINK("https://ipam.lantzerath-group.com/dcim/sites/"&amp;VLOOKUP(A18,Table2[],2,FALSE),VLOOKUP(A18,Table2[],2,FALSE))</f>
        <v>2631</v>
      </c>
      <c r="C18" t="str">
        <f>VLOOKUP(A18,Table2[],3,FALSE)</f>
        <v>Active</v>
      </c>
      <c r="D18" t="str">
        <f>VLOOKUP(A18,Table2[],8,FALSE)</f>
        <v>Full</v>
      </c>
      <c r="E18" t="str">
        <f>VLOOKUP(A18,Table2[],4,FALSE)</f>
        <v>Gioia Combustibili SA</v>
      </c>
      <c r="F18" t="str">
        <f>VLOOKUP(A18,Table2[],5,FALSE)</f>
        <v>Gioia Combustibili SA - Via Gaggiolo 22 - 6855 Stabio - 104260</v>
      </c>
      <c r="H18" s="3"/>
      <c r="I18" s="3" t="s">
        <v>4704</v>
      </c>
    </row>
    <row r="19" spans="1:9" hidden="1" x14ac:dyDescent="0.35">
      <c r="A19">
        <v>104490</v>
      </c>
      <c r="B19" s="1">
        <f>HYPERLINK("https://ipam.lantzerath-group.com/dcim/sites/"&amp;VLOOKUP(A19,Table2[],2,FALSE),VLOOKUP(A19,Table2[],2,FALSE))</f>
        <v>3535</v>
      </c>
      <c r="C19" t="str">
        <f>VLOOKUP(A19,Table2[],3,FALSE)</f>
        <v>Active</v>
      </c>
      <c r="D19" t="str">
        <f>VLOOKUP(A19,Table2[],8,FALSE)</f>
        <v>Full</v>
      </c>
      <c r="E19" t="str">
        <f>VLOOKUP(A19,Table2[],4,FALSE)</f>
        <v>Gustoil Schüpbach</v>
      </c>
      <c r="F19" t="str">
        <f>VLOOKUP(A19,Table2[],5,FALSE)</f>
        <v>Fresh Finish - Murgenthalstrasse 17c - 4900 Langenthal - 104490</v>
      </c>
      <c r="H19" s="3"/>
      <c r="I19" s="3" t="s">
        <v>4705</v>
      </c>
    </row>
    <row r="20" spans="1:9" hidden="1" x14ac:dyDescent="0.35">
      <c r="A20">
        <v>102263</v>
      </c>
      <c r="B20" s="1">
        <f>HYPERLINK("https://ipam.lantzerath-group.com/dcim/sites/"&amp;VLOOKUP(A20,Table2[],2,FALSE),VLOOKUP(A20,Table2[],2,FALSE))</f>
        <v>2374</v>
      </c>
      <c r="C20" t="str">
        <f>VLOOKUP(A20,Table2[],3,FALSE)</f>
        <v>Active</v>
      </c>
      <c r="D20">
        <f>VLOOKUP(A20,Table2[],8,FALSE)</f>
        <v>0</v>
      </c>
      <c r="E20" t="str">
        <f>VLOOKUP(A20,Table2[],4,FALSE)</f>
        <v>La Mascotte SA</v>
      </c>
      <c r="F20" t="str">
        <f>VLOOKUP(A20,Table2[],5,FALSE)</f>
        <v>Station - service La Mascotte - Route de la Vallée 7 - 1873 Val d'Illiez - 102263</v>
      </c>
      <c r="G20" t="s">
        <v>4686</v>
      </c>
      <c r="H20" s="3"/>
      <c r="I20" s="3" t="s">
        <v>4706</v>
      </c>
    </row>
    <row r="21" spans="1:9" hidden="1" x14ac:dyDescent="0.35">
      <c r="A21">
        <v>104026</v>
      </c>
      <c r="B21" s="1">
        <f>HYPERLINK("https://ipam.lantzerath-group.com/dcim/sites/"&amp;VLOOKUP(A21,Table2[],2,FALSE),VLOOKUP(A21,Table2[],2,FALSE))</f>
        <v>2604</v>
      </c>
      <c r="C21" t="str">
        <f>VLOOKUP(A21,Table2[],3,FALSE)</f>
        <v>Active</v>
      </c>
      <c r="D21" t="str">
        <f>VLOOKUP(A21,Table2[],8,FALSE)</f>
        <v>Full</v>
      </c>
      <c r="E21" t="str">
        <f>VLOOKUP(A21,Table2[],4,FALSE)</f>
        <v>Mario von Arx-Legoll</v>
      </c>
      <c r="F21" t="str">
        <f>VLOOKUP(A21,Table2[],5,FALSE)</f>
        <v>Mario + Edith von Arx - Dorfstrasse 178 - 4623 Neuendorf - 104026</v>
      </c>
      <c r="H21" s="3"/>
      <c r="I21" s="3" t="s">
        <v>4707</v>
      </c>
    </row>
    <row r="22" spans="1:9" hidden="1" x14ac:dyDescent="0.35">
      <c r="A22">
        <v>103899</v>
      </c>
      <c r="B22" s="1">
        <f>HYPERLINK("https://ipam.lantzerath-group.com/dcim/sites/"&amp;VLOOKUP(A22,Table2[],2,FALSE),VLOOKUP(A22,Table2[],2,FALSE))</f>
        <v>2585</v>
      </c>
      <c r="C22" t="str">
        <f>VLOOKUP(A22,Table2[],3,FALSE)</f>
        <v>Active</v>
      </c>
      <c r="D22" t="str">
        <f>VLOOKUP(A22,Table2[],8,FALSE)</f>
        <v>Full</v>
      </c>
      <c r="E22" t="str">
        <f>VLOOKUP(A22,Table2[],4,FALSE)</f>
        <v>Midland Tankstelle</v>
      </c>
      <c r="F22" t="str">
        <f>VLOOKUP(A22,Table2[],5,FALSE)</f>
        <v>Midland Tankstelle - Quellmattstrasse 2 - 5035 Unterentfelden - 103899</v>
      </c>
      <c r="H22" s="3"/>
      <c r="I22" s="3" t="s">
        <v>4708</v>
      </c>
    </row>
    <row r="23" spans="1:9" hidden="1" x14ac:dyDescent="0.35">
      <c r="A23">
        <v>103318</v>
      </c>
      <c r="B23" s="2">
        <f>HYPERLINK("https://ipam.lantzerath-group.com/dcim/sites/"&amp;VLOOKUP(A23,Table2[],2,FALSE),VLOOKUP(A23,Table2[],2,FALSE))</f>
        <v>1501</v>
      </c>
      <c r="C23" t="str">
        <f>VLOOKUP(A23,Table2[],3,FALSE)</f>
        <v>Active</v>
      </c>
      <c r="D23" t="str">
        <f>VLOOKUP(A23,Table2[],8,FALSE)</f>
        <v>Full</v>
      </c>
      <c r="E23" t="str">
        <f>VLOOKUP(A23,Table2[],4,FALSE)</f>
        <v>Migrol &amp; migrolino-Test</v>
      </c>
      <c r="F23" t="str">
        <f>VLOOKUP(A23,Table2[],5,FALSE)</f>
        <v>CiRRUS Test - Abrantix - Förrlibuckstrasse 66 - 8805 Zürich - 103318</v>
      </c>
      <c r="H23" s="3"/>
      <c r="I23" s="3" t="s">
        <v>4709</v>
      </c>
    </row>
    <row r="24" spans="1:9" hidden="1" x14ac:dyDescent="0.35">
      <c r="A24">
        <v>104349</v>
      </c>
      <c r="B24" s="1">
        <f>HYPERLINK("https://ipam.lantzerath-group.com/dcim/sites/"&amp;VLOOKUP(A24,Table2[],2,FALSE),VLOOKUP(A24,Table2[],2,FALSE))</f>
        <v>2766</v>
      </c>
      <c r="C24" t="str">
        <f>VLOOKUP(A24,Table2[],3,FALSE)</f>
        <v>Active</v>
      </c>
      <c r="D24" t="str">
        <f>VLOOKUP(A24,Table2[],8,FALSE)</f>
        <v>Full</v>
      </c>
      <c r="E24" t="str">
        <f>VLOOKUP(A24,Table2[],4,FALSE)</f>
        <v>Mundin Samnaun AG</v>
      </c>
      <c r="F24" t="str">
        <f>VLOOKUP(A24,Table2[],5,FALSE)</f>
        <v>Eurocenter Socar Tankstelle - Talstrasse 88 - 7563 Samnaun Dorf - 104349</v>
      </c>
      <c r="H24" s="3"/>
      <c r="I24" s="3" t="s">
        <v>4710</v>
      </c>
    </row>
    <row r="25" spans="1:9" hidden="1" x14ac:dyDescent="0.35">
      <c r="A25">
        <v>104402</v>
      </c>
      <c r="B25" s="2">
        <f>HYPERLINK("https://ipam.lantzerath-group.com/dcim/sites/"&amp;VLOOKUP(A25,Table2[],2,FALSE),VLOOKUP(A25,Table2[],2,FALSE))</f>
        <v>3460</v>
      </c>
      <c r="C25" t="str">
        <f>VLOOKUP(A25,Table2[],3,FALSE)</f>
        <v>Active</v>
      </c>
      <c r="D25" t="str">
        <f>VLOOKUP(A25,Table2[],8,FALSE)</f>
        <v>Full</v>
      </c>
      <c r="E25" t="str">
        <f>VLOOKUP(A25,Table2[],4,FALSE)</f>
        <v>Mundin Samnaun AG</v>
      </c>
      <c r="F25" t="str">
        <f>VLOOKUP(A25,Table2[],5,FALSE)</f>
        <v>Mundin Tankstelle - Talstrasse 85 - 7563 Samnaun -Dorf 10 - 104402</v>
      </c>
      <c r="H25" s="3"/>
      <c r="I25" s="3" t="s">
        <v>4711</v>
      </c>
    </row>
    <row r="26" spans="1:9" hidden="1" x14ac:dyDescent="0.35">
      <c r="A26">
        <v>104218</v>
      </c>
      <c r="B26" s="2">
        <f>HYPERLINK("https://ipam.lantzerath-group.com/dcim/sites/"&amp;VLOOKUP(A26,Table2[],2,FALSE),VLOOKUP(A26,Table2[],2,FALSE))</f>
        <v>2619</v>
      </c>
      <c r="C26" t="str">
        <f>VLOOKUP(A26,Table2[],3,FALSE)</f>
        <v>Active</v>
      </c>
      <c r="D26">
        <f>VLOOKUP(A26,Table2[],8,FALSE)</f>
        <v>0</v>
      </c>
      <c r="E26" t="str">
        <f>VLOOKUP(A26,Table2[],4,FALSE)</f>
        <v>Post</v>
      </c>
      <c r="F26" t="str">
        <f>VLOOKUP(A26,Table2[],5,FALSE)</f>
        <v>Post Tankstelle - Nordstrasse / Allmendstrasse - 5612 Villmergen - 104218</v>
      </c>
      <c r="G26" t="s">
        <v>4686</v>
      </c>
      <c r="H26" s="3"/>
      <c r="I26" s="3" t="s">
        <v>4712</v>
      </c>
    </row>
    <row r="27" spans="1:9" hidden="1" x14ac:dyDescent="0.35">
      <c r="A27">
        <v>104418</v>
      </c>
      <c r="B27" s="2">
        <f>HYPERLINK("https://ipam.lantzerath-group.com/dcim/sites/"&amp;VLOOKUP(A27,Table2[],2,FALSE),VLOOKUP(A27,Table2[],2,FALSE))</f>
        <v>3510</v>
      </c>
      <c r="C27" t="str">
        <f>VLOOKUP(A27,Table2[],3,FALSE)</f>
        <v>Active</v>
      </c>
      <c r="D27" t="str">
        <f>VLOOKUP(A27,Table2[],8,FALSE)</f>
        <v>Full</v>
      </c>
      <c r="E27" t="str">
        <f>VLOOKUP(A27,Table2[],4,FALSE)</f>
        <v>RealShop SA</v>
      </c>
      <c r="F27" t="str">
        <f>VLOOKUP(A27,Table2[],5,FALSE)</f>
        <v>RealShop - Via Tinelle 20 - 6832 Pedrinate - 104418</v>
      </c>
      <c r="H27" s="3"/>
      <c r="I27" s="3" t="s">
        <v>4713</v>
      </c>
    </row>
    <row r="28" spans="1:9" hidden="1" x14ac:dyDescent="0.35">
      <c r="A28">
        <v>101931</v>
      </c>
      <c r="B28" s="2">
        <f>HYPERLINK("https://ipam.lantzerath-group.com/dcim/sites/"&amp;VLOOKUP(A28,Table2[],2,FALSE),VLOOKUP(A28,Table2[],2,FALSE))</f>
        <v>2325</v>
      </c>
      <c r="C28" t="str">
        <f>VLOOKUP(A28,Table2[],3,FALSE)</f>
        <v>Active</v>
      </c>
      <c r="D28" t="str">
        <f>VLOOKUP(A28,Table2[],8,FALSE)</f>
        <v>Full</v>
      </c>
      <c r="E28" t="str">
        <f>VLOOKUP(A28,Table2[],4,FALSE)</f>
        <v>Rüegsegger Installationen AG</v>
      </c>
      <c r="F28" t="str">
        <f>VLOOKUP(A28,Table2[],5,FALSE)</f>
        <v>Rüegsegger Installationen AG - Horben 777a - Aeschau - 101931</v>
      </c>
      <c r="H28" s="3"/>
      <c r="I28" s="3" t="s">
        <v>4714</v>
      </c>
    </row>
    <row r="29" spans="1:9" x14ac:dyDescent="0.35">
      <c r="A29">
        <v>104390</v>
      </c>
      <c r="B29" s="2">
        <f>HYPERLINK("https://ipam.lantzerath-group.com/dcim/sites/"&amp;VLOOKUP(A29,Table2[],2,FALSE),VLOOKUP(A29,Table2[],2,FALSE))</f>
        <v>3382</v>
      </c>
      <c r="C29" t="str">
        <f>VLOOKUP(A29,Table2[],3,FALSE)</f>
        <v>Active</v>
      </c>
      <c r="D29">
        <f>VLOOKUP(A29,Table2[],8,FALSE)</f>
        <v>0</v>
      </c>
      <c r="E29" t="str">
        <f>VLOOKUP(A29,Table2[],4,FALSE)</f>
        <v>STATION</v>
      </c>
      <c r="F29" t="str">
        <f>VLOOKUP(A29,Table2[],5,FALSE)</f>
        <v>Réseau fribourgeois de santé mental - Centre de soins hospitaliers - 1633 Marsens - 104390</v>
      </c>
      <c r="G29" t="s">
        <v>4686</v>
      </c>
      <c r="H29" s="3" t="b">
        <v>1</v>
      </c>
      <c r="I29" s="4" t="s">
        <v>4715</v>
      </c>
    </row>
    <row r="30" spans="1:9" x14ac:dyDescent="0.35">
      <c r="A30">
        <v>101898</v>
      </c>
      <c r="B30" s="2">
        <f>HYPERLINK("https://ipam.lantzerath-group.com/dcim/sites/"&amp;VLOOKUP(A30,Table2[],2,FALSE),VLOOKUP(A30,Table2[],2,FALSE))</f>
        <v>2314</v>
      </c>
      <c r="C30" t="str">
        <f>VLOOKUP(A30,Table2[],3,FALSE)</f>
        <v>Active</v>
      </c>
      <c r="D30">
        <f>VLOOKUP(A30,Table2[],8,FALSE)</f>
        <v>0</v>
      </c>
      <c r="E30" t="str">
        <f>VLOOKUP(A30,Table2[],4,FALSE)</f>
        <v>STATION</v>
      </c>
      <c r="F30" t="str">
        <f>VLOOKUP(A30,Table2[],5,FALSE)</f>
        <v>J. Huber AG - Rengglochstrasse 48 - 6012 Kriens-Obernau - 101898</v>
      </c>
      <c r="G30" t="s">
        <v>4686</v>
      </c>
      <c r="H30" s="3" t="b">
        <v>1</v>
      </c>
      <c r="I30" s="4" t="s">
        <v>4922</v>
      </c>
    </row>
    <row r="31" spans="1:9" x14ac:dyDescent="0.35">
      <c r="A31">
        <v>102439</v>
      </c>
      <c r="B31" s="2">
        <f>HYPERLINK("https://ipam.lantzerath-group.com/dcim/sites/"&amp;VLOOKUP(A31,Table2[],2,FALSE),VLOOKUP(A31,Table2[],2,FALSE))</f>
        <v>2405</v>
      </c>
      <c r="C31" t="str">
        <f>VLOOKUP(A31,Table2[],3,FALSE)</f>
        <v>Active</v>
      </c>
      <c r="D31">
        <f>VLOOKUP(A31,Table2[],8,FALSE)</f>
        <v>0</v>
      </c>
      <c r="E31" t="str">
        <f>VLOOKUP(A31,Table2[],4,FALSE)</f>
        <v>STATION</v>
      </c>
      <c r="F31" t="str">
        <f>VLOOKUP(A31,Table2[],5,FALSE)</f>
        <v>Vescovi Pietro Sagl - Via Lucomagno 5 - 6718 Olivone - 102439</v>
      </c>
      <c r="G31" t="s">
        <v>4686</v>
      </c>
      <c r="H31" s="3" t="b">
        <v>1</v>
      </c>
      <c r="I31" s="4" t="s">
        <v>4716</v>
      </c>
    </row>
    <row r="32" spans="1:9" x14ac:dyDescent="0.35">
      <c r="A32">
        <v>101917</v>
      </c>
      <c r="B32" s="2">
        <f>HYPERLINK("https://ipam.lantzerath-group.com/dcim/sites/"&amp;VLOOKUP(A32,Table2[],2,FALSE),VLOOKUP(A32,Table2[],2,FALSE))</f>
        <v>2320</v>
      </c>
      <c r="C32" t="str">
        <f>VLOOKUP(A32,Table2[],3,FALSE)</f>
        <v>Active</v>
      </c>
      <c r="D32">
        <f>VLOOKUP(A32,Table2[],8,FALSE)</f>
        <v>0</v>
      </c>
      <c r="E32" t="str">
        <f>VLOOKUP(A32,Table2[],4,FALSE)</f>
        <v>STATION</v>
      </c>
      <c r="F32" t="str">
        <f>VLOOKUP(A32,Table2[],5,FALSE)</f>
        <v>Landi Oberes Fricktal - Oeligasse 94 - 5063 Wölflinswil - 101917</v>
      </c>
      <c r="G32" t="s">
        <v>4686</v>
      </c>
      <c r="H32" s="3" t="b">
        <v>1</v>
      </c>
      <c r="I32" s="4" t="s">
        <v>4717</v>
      </c>
    </row>
    <row r="33" spans="1:9" x14ac:dyDescent="0.35">
      <c r="A33">
        <v>101641</v>
      </c>
      <c r="B33" s="2">
        <f>HYPERLINK("https://ipam.lantzerath-group.com/dcim/sites/"&amp;VLOOKUP(A33,Table2[],2,FALSE),VLOOKUP(A33,Table2[],2,FALSE))</f>
        <v>2273</v>
      </c>
      <c r="C33" t="str">
        <f>VLOOKUP(A33,Table2[],3,FALSE)</f>
        <v>Active</v>
      </c>
      <c r="D33">
        <f>VLOOKUP(A33,Table2[],8,FALSE)</f>
        <v>0</v>
      </c>
      <c r="E33" t="str">
        <f>VLOOKUP(A33,Table2[],4,FALSE)</f>
        <v>STATION</v>
      </c>
      <c r="F33" t="str">
        <f>VLOOKUP(A33,Table2[],5,FALSE)</f>
        <v>Landi Oberes Fricktal - Kirchbachstrasse 6 - 5064 Wittnau - 101641</v>
      </c>
      <c r="G33" t="s">
        <v>4686</v>
      </c>
      <c r="H33" s="3" t="b">
        <v>1</v>
      </c>
      <c r="I33" s="4" t="s">
        <v>4718</v>
      </c>
    </row>
    <row r="34" spans="1:9" x14ac:dyDescent="0.35">
      <c r="A34">
        <v>102677</v>
      </c>
      <c r="B34" s="2">
        <f>HYPERLINK("https://ipam.lantzerath-group.com/dcim/sites/"&amp;VLOOKUP(A34,Table2[],2,FALSE),VLOOKUP(A34,Table2[],2,FALSE))</f>
        <v>2441</v>
      </c>
      <c r="C34" t="str">
        <f>VLOOKUP(A34,Table2[],3,FALSE)</f>
        <v>Active</v>
      </c>
      <c r="D34">
        <f>VLOOKUP(A34,Table2[],8,FALSE)</f>
        <v>0</v>
      </c>
      <c r="E34" t="str">
        <f>VLOOKUP(A34,Table2[],4,FALSE)</f>
        <v>STATION</v>
      </c>
      <c r="F34" t="str">
        <f>VLOOKUP(A34,Table2[],5,FALSE)</f>
        <v>Sonneland AG - Hauserstrasse 40 - 5210 Windisch - 102677</v>
      </c>
      <c r="G34" t="s">
        <v>4686</v>
      </c>
      <c r="H34" s="3" t="b">
        <v>1</v>
      </c>
      <c r="I34" s="4" t="s">
        <v>4719</v>
      </c>
    </row>
    <row r="35" spans="1:9" x14ac:dyDescent="0.35">
      <c r="A35">
        <v>104337</v>
      </c>
      <c r="B35" s="2">
        <f>HYPERLINK("https://ipam.lantzerath-group.com/dcim/sites/"&amp;VLOOKUP(A35,Table2[],2,FALSE),VLOOKUP(A35,Table2[],2,FALSE))</f>
        <v>2654</v>
      </c>
      <c r="C35" t="str">
        <f>VLOOKUP(A35,Table2[],3,FALSE)</f>
        <v>Active</v>
      </c>
      <c r="D35">
        <f>VLOOKUP(A35,Table2[],8,FALSE)</f>
        <v>0</v>
      </c>
      <c r="E35" t="str">
        <f>VLOOKUP(A35,Table2[],4,FALSE)</f>
        <v>STATION</v>
      </c>
      <c r="F35" t="str">
        <f>VLOOKUP(A35,Table2[],5,FALSE)</f>
        <v>RS Petrol GmbH - Freiburgstrasse 300/310 - 3018 Bern - 104337</v>
      </c>
      <c r="G35" t="s">
        <v>4686</v>
      </c>
      <c r="H35" s="3" t="b">
        <v>1</v>
      </c>
      <c r="I35" s="4" t="s">
        <v>4720</v>
      </c>
    </row>
    <row r="36" spans="1:9" hidden="1" x14ac:dyDescent="0.35">
      <c r="A36">
        <v>101273</v>
      </c>
      <c r="B36" s="2">
        <f>HYPERLINK("https://ipam.lantzerath-group.com/dcim/sites/"&amp;VLOOKUP(A36,Table2[],2,FALSE),VLOOKUP(A36,Table2[],2,FALSE))</f>
        <v>2259</v>
      </c>
      <c r="C36" t="str">
        <f>VLOOKUP(A36,Table2[],3,FALSE)</f>
        <v>Active</v>
      </c>
      <c r="D36" t="str">
        <f>VLOOKUP(A36,Table2[],8,FALSE)</f>
        <v>Full</v>
      </c>
      <c r="E36" t="str">
        <f>VLOOKUP(A36,Table2[],4,FALSE)</f>
        <v>Tankstelle von Rotz AG</v>
      </c>
      <c r="F36" t="str">
        <f>VLOOKUP(A36,Table2[],5,FALSE)</f>
        <v>Tankstelle von Rotz AG - Zürcherstrasse 10 - 9552 Bronschhofen - 101273</v>
      </c>
      <c r="H36" s="3"/>
      <c r="I36" s="3" t="s">
        <v>4721</v>
      </c>
    </row>
    <row r="37" spans="1:9" hidden="1" x14ac:dyDescent="0.35">
      <c r="A37">
        <v>101054</v>
      </c>
      <c r="B37" s="2">
        <f>HYPERLINK("https://ipam.lantzerath-group.com/dcim/sites/"&amp;VLOOKUP(A37,Table2[],2,FALSE),VLOOKUP(A37,Table2[],2,FALSE))</f>
        <v>1843</v>
      </c>
      <c r="C37" t="str">
        <f>VLOOKUP(A37,Table2[],3,FALSE)</f>
        <v>Active</v>
      </c>
      <c r="D37" t="str">
        <f>VLOOKUP(A37,Table2[],8,FALSE)</f>
        <v>Full</v>
      </c>
      <c r="E37" t="str">
        <f>VLOOKUP(A37,Table2[],4,FALSE)</f>
        <v>Thurau Raststätten-Production</v>
      </c>
      <c r="F37" t="str">
        <f>VLOOKUP(A37,Table2[],5,FALSE)</f>
        <v>Raststätte Rheintal Ost - Postfach - 9470 Buchs SG - 101054</v>
      </c>
      <c r="H37" s="3"/>
      <c r="I37" s="3" t="s">
        <v>4722</v>
      </c>
    </row>
    <row r="38" spans="1:9" hidden="1" x14ac:dyDescent="0.35">
      <c r="A38">
        <v>101056</v>
      </c>
      <c r="B38" s="2">
        <f>HYPERLINK("https://ipam.lantzerath-group.com/dcim/sites/"&amp;VLOOKUP(A38,Table2[],2,FALSE),VLOOKUP(A38,Table2[],2,FALSE))</f>
        <v>1845</v>
      </c>
      <c r="C38" t="str">
        <f>VLOOKUP(A38,Table2[],3,FALSE)</f>
        <v>Active</v>
      </c>
      <c r="D38" t="str">
        <f>VLOOKUP(A38,Table2[],8,FALSE)</f>
        <v>Full</v>
      </c>
      <c r="E38" t="str">
        <f>VLOOKUP(A38,Table2[],4,FALSE)</f>
        <v>Thurau Raststätten-Production</v>
      </c>
      <c r="F38" t="str">
        <f>VLOOKUP(A38,Table2[],5,FALSE)</f>
        <v>Raststätte Thurau AG Nord - Postfach 275 - 9501 Wil SG - 101056</v>
      </c>
      <c r="H38" s="3"/>
      <c r="I38" s="3" t="s">
        <v>4723</v>
      </c>
    </row>
    <row r="39" spans="1:9" hidden="1" x14ac:dyDescent="0.35">
      <c r="A39">
        <v>102726</v>
      </c>
      <c r="B39" s="2">
        <f>HYPERLINK("https://ipam.lantzerath-group.com/dcim/sites/"&amp;VLOOKUP(A39,Table2[],2,FALSE),VLOOKUP(A39,Table2[],2,FALSE))</f>
        <v>1846</v>
      </c>
      <c r="C39" t="str">
        <f>VLOOKUP(A39,Table2[],3,FALSE)</f>
        <v>Active</v>
      </c>
      <c r="D39" t="str">
        <f>VLOOKUP(A39,Table2[],8,FALSE)</f>
        <v>Full</v>
      </c>
      <c r="E39" t="str">
        <f>VLOOKUP(A39,Table2[],4,FALSE)</f>
        <v>Thurau Raststätten-Production</v>
      </c>
      <c r="F39" t="str">
        <f>VLOOKUP(A39,Table2[],5,FALSE)</f>
        <v>Raststätte Walensee Süd AG - Bergsboden - 8882 Unterterzen - 102726</v>
      </c>
      <c r="H39" s="3"/>
      <c r="I39" s="3" t="s">
        <v>4724</v>
      </c>
    </row>
    <row r="40" spans="1:9" hidden="1" x14ac:dyDescent="0.35">
      <c r="A40">
        <v>102037</v>
      </c>
      <c r="B40" s="2">
        <f>HYPERLINK("https://ipam.lantzerath-group.com/dcim/sites/"&amp;VLOOKUP(A40,Table2[],2,FALSE),VLOOKUP(A40,Table2[],2,FALSE))</f>
        <v>2345</v>
      </c>
      <c r="C40" t="str">
        <f>VLOOKUP(A40,Table2[],3,FALSE)</f>
        <v>Active</v>
      </c>
      <c r="D40" t="str">
        <f>VLOOKUP(A40,Table2[],8,FALSE)</f>
        <v>Full</v>
      </c>
      <c r="E40" t="str">
        <f>VLOOKUP(A40,Table2[],4,FALSE)</f>
        <v>Transporte Zurbriggen GmbH</v>
      </c>
      <c r="F40" t="str">
        <f>VLOOKUP(A40,Table2[],5,FALSE)</f>
        <v>Transporte Zurbriggen - Saastalstrasse 312 - 3910 Saas Grund - 102037</v>
      </c>
      <c r="H40" s="3"/>
      <c r="I40" s="3" t="s">
        <v>4725</v>
      </c>
    </row>
    <row r="41" spans="1:9" hidden="1" x14ac:dyDescent="0.35">
      <c r="A41">
        <v>104419</v>
      </c>
      <c r="B41" s="2">
        <f>HYPERLINK("https://ipam.lantzerath-group.com/dcim/sites/"&amp;VLOOKUP(A41,Table2[],2,FALSE),VLOOKUP(A41,Table2[],2,FALSE))</f>
        <v>3514</v>
      </c>
      <c r="C41" t="str">
        <f>VLOOKUP(A41,Table2[],3,FALSE)</f>
        <v>Active</v>
      </c>
      <c r="D41" t="str">
        <f>VLOOKUP(A41,Table2[],8,FALSE)</f>
        <v>Full</v>
      </c>
      <c r="E41" t="str">
        <f>VLOOKUP(A41,Table2[],4,FALSE)</f>
        <v>Verein für Abfallentsorgung</v>
      </c>
      <c r="F41" t="str">
        <f>VLOOKUP(A41,Table2[],5,FALSE)</f>
        <v>Verein für Abfallentsorgung - Langäulistrasse 24 - 9470 Buchs - 104419</v>
      </c>
      <c r="H41" s="3"/>
      <c r="I41" s="3" t="s">
        <v>4726</v>
      </c>
    </row>
    <row r="42" spans="1:9" hidden="1" x14ac:dyDescent="0.35">
      <c r="A42">
        <v>103132</v>
      </c>
      <c r="B42" s="2">
        <f>HYPERLINK("https://ipam.lantzerath-group.com/dcim/sites/"&amp;VLOOKUP(A42,Table2[],2,FALSE),VLOOKUP(A42,Table2[],2,FALSE))</f>
        <v>2149</v>
      </c>
      <c r="C42" t="str">
        <f>VLOOKUP(A42,Table2[],3,FALSE)</f>
        <v>Active</v>
      </c>
      <c r="D42" t="str">
        <f>VLOOKUP(A42,Table2[],8,FALSE)</f>
        <v>Full</v>
      </c>
      <c r="E42" t="str">
        <f>VLOOKUP(A42,Table2[],4,FALSE)</f>
        <v>Viamala Raststätte-Production</v>
      </c>
      <c r="F42" t="str">
        <f>VLOOKUP(A42,Table2[],5,FALSE)</f>
        <v>Viamala Raststätte - Fürstenauerstrasse 1 - 7430 Thusis - 103132</v>
      </c>
      <c r="H42" s="3"/>
      <c r="I42" s="3" t="s">
        <v>4727</v>
      </c>
    </row>
    <row r="43" spans="1:9" x14ac:dyDescent="0.35">
      <c r="A43">
        <v>104229</v>
      </c>
      <c r="B43" s="1">
        <f>HYPERLINK("https://ipam.lantzerath-group.com/dcim/sites/"&amp;VLOOKUP(A43,Table2[],2,FALSE),VLOOKUP(A43,Table2[],2,FALSE))</f>
        <v>2622</v>
      </c>
      <c r="C43" t="str">
        <f>VLOOKUP(A43,Table2[],3,FALSE)</f>
        <v>Active</v>
      </c>
      <c r="D43">
        <f>VLOOKUP(A43,Table2[],8,FALSE)</f>
        <v>0</v>
      </c>
      <c r="E43" t="str">
        <f>VLOOKUP(A43,Table2[],4,FALSE)</f>
        <v>VPN</v>
      </c>
      <c r="F43" t="str">
        <f>VLOOKUP(A43,Table2[],5,FALSE)</f>
        <v>Garage Näpflin - Hinterhostattstrasse 7 - 6376 Emmetten - 104229</v>
      </c>
      <c r="G43" t="s">
        <v>4686</v>
      </c>
      <c r="H43" s="3" t="b">
        <v>1</v>
      </c>
      <c r="I43" s="4" t="s">
        <v>4728</v>
      </c>
    </row>
    <row r="44" spans="1:9" x14ac:dyDescent="0.35">
      <c r="A44">
        <v>103172</v>
      </c>
      <c r="B44" s="1">
        <f>HYPERLINK("https://ipam.lantzerath-group.com/dcim/sites/"&amp;VLOOKUP(A44,Table2[],2,FALSE),VLOOKUP(A44,Table2[],2,FALSE))</f>
        <v>2500</v>
      </c>
      <c r="C44" t="str">
        <f>VLOOKUP(A44,Table2[],3,FALSE)</f>
        <v>Active</v>
      </c>
      <c r="D44">
        <f>VLOOKUP(A44,Table2[],8,FALSE)</f>
        <v>0</v>
      </c>
      <c r="E44" t="str">
        <f>VLOOKUP(A44,Table2[],4,FALSE)</f>
        <v>VPN</v>
      </c>
      <c r="F44" t="str">
        <f>VLOOKUP(A44,Table2[],5,FALSE)</f>
        <v>Suisse Petroli SA - 103172</v>
      </c>
      <c r="G44" t="s">
        <v>4686</v>
      </c>
      <c r="H44" s="3" t="b">
        <v>1</v>
      </c>
      <c r="I44" s="4" t="s">
        <v>4879</v>
      </c>
    </row>
    <row r="45" spans="1:9" x14ac:dyDescent="0.35">
      <c r="A45">
        <v>103657</v>
      </c>
      <c r="B45" s="1">
        <f>HYPERLINK("https://ipam.lantzerath-group.com/dcim/sites/"&amp;VLOOKUP(A45,Table2[],2,FALSE),VLOOKUP(A45,Table2[],2,FALSE))</f>
        <v>2525</v>
      </c>
      <c r="C45" t="str">
        <f>VLOOKUP(A45,Table2[],3,FALSE)</f>
        <v>Active</v>
      </c>
      <c r="D45">
        <f>VLOOKUP(A45,Table2[],8,FALSE)</f>
        <v>0</v>
      </c>
      <c r="E45" t="str">
        <f>VLOOKUP(A45,Table2[],4,FALSE)</f>
        <v>VPN</v>
      </c>
      <c r="F45" t="str">
        <f>VLOOKUP(A45,Table2[],5,FALSE)</f>
        <v>Tankstelle Svabic - Zugerstrasse 251 - 8810 Horgen - 103657</v>
      </c>
      <c r="G45" t="s">
        <v>4686</v>
      </c>
      <c r="H45" s="3" t="b">
        <v>1</v>
      </c>
      <c r="I45" s="4" t="s">
        <v>4729</v>
      </c>
    </row>
    <row r="46" spans="1:9" x14ac:dyDescent="0.35">
      <c r="A46">
        <v>101928</v>
      </c>
      <c r="B46" s="1">
        <f>HYPERLINK("https://ipam.lantzerath-group.com/dcim/sites/"&amp;VLOOKUP(A46,Table2[],2,FALSE),VLOOKUP(A46,Table2[],2,FALSE))</f>
        <v>2323</v>
      </c>
      <c r="C46" t="str">
        <f>VLOOKUP(A46,Table2[],3,FALSE)</f>
        <v>Active</v>
      </c>
      <c r="D46">
        <f>VLOOKUP(A46,Table2[],8,FALSE)</f>
        <v>0</v>
      </c>
      <c r="E46" t="str">
        <f>VLOOKUP(A46,Table2[],4,FALSE)</f>
        <v>VPN</v>
      </c>
      <c r="F46" t="str">
        <f>VLOOKUP(A46,Table2[],5,FALSE)</f>
        <v>Hergol Tankstellen AG - Altsagenstrasse 20 - 6048 Horw - 101928</v>
      </c>
      <c r="G46" t="s">
        <v>4686</v>
      </c>
      <c r="H46" s="3" t="b">
        <v>1</v>
      </c>
      <c r="I46" s="4" t="s">
        <v>4730</v>
      </c>
    </row>
    <row r="47" spans="1:9" x14ac:dyDescent="0.35">
      <c r="A47">
        <v>104323</v>
      </c>
      <c r="B47" s="1">
        <f>HYPERLINK("https://ipam.lantzerath-group.com/dcim/sites/"&amp;VLOOKUP(A47,Table2[],2,FALSE),VLOOKUP(A47,Table2[],2,FALSE))</f>
        <v>2652</v>
      </c>
      <c r="C47" t="str">
        <f>VLOOKUP(A47,Table2[],3,FALSE)</f>
        <v>Active</v>
      </c>
      <c r="D47">
        <f>VLOOKUP(A47,Table2[],8,FALSE)</f>
        <v>0</v>
      </c>
      <c r="E47" t="str">
        <f>VLOOKUP(A47,Table2[],4,FALSE)</f>
        <v>VPN</v>
      </c>
      <c r="F47" t="str">
        <f>VLOOKUP(A47,Table2[],5,FALSE)</f>
        <v>ECSA Energy SA - Rondina Via Cavagno - 6997 Sessa - 104323</v>
      </c>
      <c r="G47" t="s">
        <v>4686</v>
      </c>
      <c r="H47" s="3" t="b">
        <v>1</v>
      </c>
      <c r="I47" s="4" t="s">
        <v>4731</v>
      </c>
    </row>
    <row r="48" spans="1:9" x14ac:dyDescent="0.35">
      <c r="A48">
        <v>101946</v>
      </c>
      <c r="B48" s="1">
        <f>HYPERLINK("https://ipam.lantzerath-group.com/dcim/sites/"&amp;VLOOKUP(A48,Table2[],2,FALSE),VLOOKUP(A48,Table2[],2,FALSE))</f>
        <v>2330</v>
      </c>
      <c r="C48" t="str">
        <f>VLOOKUP(A48,Table2[],3,FALSE)</f>
        <v>Active</v>
      </c>
      <c r="D48">
        <f>VLOOKUP(A48,Table2[],8,FALSE)</f>
        <v>0</v>
      </c>
      <c r="E48" t="str">
        <f>VLOOKUP(A48,Table2[],4,FALSE)</f>
        <v>VPN</v>
      </c>
      <c r="F48" t="str">
        <f>VLOOKUP(A48,Table2[],5,FALSE)</f>
        <v>Garage Kerlein - Baselstrasse 45 - 6252 Dagmersellen - 101946</v>
      </c>
      <c r="G48" t="s">
        <v>4686</v>
      </c>
      <c r="H48" s="3" t="b">
        <v>1</v>
      </c>
      <c r="I48" s="4" t="s">
        <v>4732</v>
      </c>
    </row>
    <row r="49" spans="1:9" x14ac:dyDescent="0.35">
      <c r="A49">
        <v>101635</v>
      </c>
      <c r="B49" s="1">
        <f>HYPERLINK("https://ipam.lantzerath-group.com/dcim/sites/"&amp;VLOOKUP(A49,Table2[],2,FALSE),VLOOKUP(A49,Table2[],2,FALSE))</f>
        <v>2271</v>
      </c>
      <c r="C49" t="str">
        <f>VLOOKUP(A49,Table2[],3,FALSE)</f>
        <v>Active</v>
      </c>
      <c r="D49">
        <f>VLOOKUP(A49,Table2[],8,FALSE)</f>
        <v>0</v>
      </c>
      <c r="E49" t="str">
        <f>VLOOKUP(A49,Table2[],4,FALSE)</f>
        <v>VPN</v>
      </c>
      <c r="F49" t="str">
        <f>VLOOKUP(A49,Table2[],5,FALSE)</f>
        <v>H+R Müller-Albiez - General-Guisanstrasse 15 - Grippingen - 101635</v>
      </c>
      <c r="G49" t="s">
        <v>4686</v>
      </c>
      <c r="H49" s="3" t="b">
        <v>1</v>
      </c>
      <c r="I49" s="4" t="s">
        <v>4733</v>
      </c>
    </row>
    <row r="50" spans="1:9" x14ac:dyDescent="0.35">
      <c r="A50">
        <v>102278</v>
      </c>
      <c r="B50" s="1">
        <f>HYPERLINK("https://ipam.lantzerath-group.com/dcim/sites/"&amp;VLOOKUP(A50,Table2[],2,FALSE),VLOOKUP(A50,Table2[],2,FALSE))</f>
        <v>2378</v>
      </c>
      <c r="C50" t="str">
        <f>VLOOKUP(A50,Table2[],3,FALSE)</f>
        <v>Active</v>
      </c>
      <c r="D50">
        <f>VLOOKUP(A50,Table2[],8,FALSE)</f>
        <v>0</v>
      </c>
      <c r="E50" t="str">
        <f>VLOOKUP(A50,Table2[],4,FALSE)</f>
        <v>VPN</v>
      </c>
      <c r="F50" t="str">
        <f>VLOOKUP(A50,Table2[],5,FALSE)</f>
        <v>ECSA Energy SA - Viale C. Olgiati 26 - 6512 Giubiasco - 102278</v>
      </c>
      <c r="G50" t="s">
        <v>4686</v>
      </c>
      <c r="H50" s="3" t="b">
        <v>1</v>
      </c>
      <c r="I50" s="4" t="s">
        <v>4734</v>
      </c>
    </row>
    <row r="51" spans="1:9" x14ac:dyDescent="0.35">
      <c r="A51">
        <v>103464</v>
      </c>
      <c r="B51" s="1">
        <f>HYPERLINK("https://ipam.lantzerath-group.com/dcim/sites/"&amp;VLOOKUP(A51,Table2[],2,FALSE),VLOOKUP(A51,Table2[],2,FALSE))</f>
        <v>2529</v>
      </c>
      <c r="C51" t="str">
        <f>VLOOKUP(A51,Table2[],3,FALSE)</f>
        <v>Active</v>
      </c>
      <c r="D51">
        <f>VLOOKUP(A51,Table2[],8,FALSE)</f>
        <v>0</v>
      </c>
      <c r="E51" t="str">
        <f>VLOOKUP(A51,Table2[],4,FALSE)</f>
        <v>VPN</v>
      </c>
      <c r="F51" t="str">
        <f>VLOOKUP(A51,Table2[],5,FALSE)</f>
        <v>LGG HANDELS AG Station - Bergstrasse 7 - 8280 Kreuzlingen - 103464</v>
      </c>
      <c r="G51" t="s">
        <v>4686</v>
      </c>
      <c r="H51" s="3" t="b">
        <v>1</v>
      </c>
      <c r="I51" s="4" t="s">
        <v>4735</v>
      </c>
    </row>
    <row r="52" spans="1:9" x14ac:dyDescent="0.35">
      <c r="A52">
        <v>102210</v>
      </c>
      <c r="B52" s="1">
        <f>HYPERLINK("https://ipam.lantzerath-group.com/dcim/sites/"&amp;VLOOKUP(A52,Table2[],2,FALSE),VLOOKUP(A52,Table2[],2,FALSE))</f>
        <v>2364</v>
      </c>
      <c r="C52" t="str">
        <f>VLOOKUP(A52,Table2[],3,FALSE)</f>
        <v>Active</v>
      </c>
      <c r="D52">
        <f>VLOOKUP(A52,Table2[],8,FALSE)</f>
        <v>0</v>
      </c>
      <c r="E52" t="str">
        <f>VLOOKUP(A52,Table2[],4,FALSE)</f>
        <v>VPN</v>
      </c>
      <c r="F52" t="str">
        <f>VLOOKUP(A52,Table2[],5,FALSE)</f>
        <v>Schelbert Garage GmbH - Hauptstrasse 96 - 6436 Muotathal - 102210</v>
      </c>
      <c r="G52" t="s">
        <v>4686</v>
      </c>
      <c r="H52" s="3" t="b">
        <v>1</v>
      </c>
      <c r="I52" s="4" t="s">
        <v>4736</v>
      </c>
    </row>
    <row r="53" spans="1:9" x14ac:dyDescent="0.35">
      <c r="A53">
        <v>103537</v>
      </c>
      <c r="B53" s="1">
        <f>HYPERLINK("https://ipam.lantzerath-group.com/dcim/sites/"&amp;VLOOKUP(A53,Table2[],2,FALSE),VLOOKUP(A53,Table2[],2,FALSE))</f>
        <v>2536</v>
      </c>
      <c r="C53" t="str">
        <f>VLOOKUP(A53,Table2[],3,FALSE)</f>
        <v>Active</v>
      </c>
      <c r="D53">
        <f>VLOOKUP(A53,Table2[],8,FALSE)</f>
        <v>0</v>
      </c>
      <c r="E53" t="str">
        <f>VLOOKUP(A53,Table2[],4,FALSE)</f>
        <v>VPN</v>
      </c>
      <c r="F53" t="str">
        <f>VLOOKUP(A53,Table2[],5,FALSE)</f>
        <v>Garage &amp; Pneu Albisser - Umfahrungsstrasse 1 6102 Malters - 103537</v>
      </c>
      <c r="G53" t="s">
        <v>4686</v>
      </c>
      <c r="H53" s="3" t="b">
        <v>1</v>
      </c>
      <c r="I53" s="4" t="s">
        <v>4737</v>
      </c>
    </row>
    <row r="54" spans="1:9" x14ac:dyDescent="0.35">
      <c r="A54">
        <v>103757</v>
      </c>
      <c r="B54" s="1">
        <f>HYPERLINK("https://ipam.lantzerath-group.com/dcim/sites/"&amp;VLOOKUP(A54,Table2[],2,FALSE),VLOOKUP(A54,Table2[],2,FALSE))</f>
        <v>2564</v>
      </c>
      <c r="C54" t="str">
        <f>VLOOKUP(A54,Table2[],3,FALSE)</f>
        <v>Active</v>
      </c>
      <c r="D54">
        <f>VLOOKUP(A54,Table2[],8,FALSE)</f>
        <v>0</v>
      </c>
      <c r="E54" t="str">
        <f>VLOOKUP(A54,Table2[],4,FALSE)</f>
        <v>VPN</v>
      </c>
      <c r="F54" t="str">
        <f>VLOOKUP(A54,Table2[],5,FALSE)</f>
        <v>Tankstelle Sonne Rossrüti - Konstanzerstrasse 17 - 9512 Rossrüti - 103757</v>
      </c>
      <c r="G54" t="s">
        <v>4686</v>
      </c>
      <c r="H54" s="3" t="b">
        <v>1</v>
      </c>
      <c r="I54" s="4" t="s">
        <v>4738</v>
      </c>
    </row>
    <row r="55" spans="1:9" x14ac:dyDescent="0.35">
      <c r="A55">
        <v>103601</v>
      </c>
      <c r="B55" s="1">
        <f>HYPERLINK("https://ipam.lantzerath-group.com/dcim/sites/"&amp;VLOOKUP(A55,Table2[],2,FALSE),VLOOKUP(A55,Table2[],2,FALSE))</f>
        <v>2549</v>
      </c>
      <c r="C55" t="str">
        <f>VLOOKUP(A55,Table2[],3,FALSE)</f>
        <v>Active</v>
      </c>
      <c r="D55">
        <f>VLOOKUP(A55,Table2[],8,FALSE)</f>
        <v>0</v>
      </c>
      <c r="E55" t="str">
        <f>VLOOKUP(A55,Table2[],4,FALSE)</f>
        <v>VPN</v>
      </c>
      <c r="F55" t="str">
        <f>VLOOKUP(A55,Table2[],5,FALSE)</f>
        <v>Scall GmbH - Witikonerstrasse 311 - 8053 Zürich - 103601</v>
      </c>
      <c r="G55" t="s">
        <v>4686</v>
      </c>
      <c r="H55" s="3" t="b">
        <v>1</v>
      </c>
      <c r="I55" s="4" t="s">
        <v>4739</v>
      </c>
    </row>
    <row r="56" spans="1:9" x14ac:dyDescent="0.35">
      <c r="A56">
        <v>102162</v>
      </c>
      <c r="B56" s="1">
        <f>HYPERLINK("https://ipam.lantzerath-group.com/dcim/sites/"&amp;VLOOKUP(A56,Table2[],2,FALSE),VLOOKUP(A56,Table2[],2,FALSE))</f>
        <v>2356</v>
      </c>
      <c r="C56" t="str">
        <f>VLOOKUP(A56,Table2[],3,FALSE)</f>
        <v>Active</v>
      </c>
      <c r="D56">
        <f>VLOOKUP(A56,Table2[],8,FALSE)</f>
        <v>0</v>
      </c>
      <c r="E56" t="str">
        <f>VLOOKUP(A56,Table2[],4,FALSE)</f>
        <v>VPN</v>
      </c>
      <c r="F56" t="str">
        <f>VLOOKUP(A56,Table2[],5,FALSE)</f>
        <v>XLCH AG - Möbel Hubacher -  - Rössliweg 43 - 4852 Rothrist - 102162</v>
      </c>
      <c r="G56" t="s">
        <v>4686</v>
      </c>
      <c r="H56" s="3" t="b">
        <v>1</v>
      </c>
      <c r="I56" s="4" t="s">
        <v>4740</v>
      </c>
    </row>
    <row r="57" spans="1:9" x14ac:dyDescent="0.35">
      <c r="A57">
        <v>102793</v>
      </c>
      <c r="B57" s="1">
        <f>HYPERLINK("https://ipam.lantzerath-group.com/dcim/sites/"&amp;VLOOKUP(A57,Table2[],2,FALSE),VLOOKUP(A57,Table2[],2,FALSE))</f>
        <v>2467</v>
      </c>
      <c r="C57" t="str">
        <f>VLOOKUP(A57,Table2[],3,FALSE)</f>
        <v>Active</v>
      </c>
      <c r="D57">
        <f>VLOOKUP(A57,Table2[],8,FALSE)</f>
        <v>0</v>
      </c>
      <c r="E57" t="str">
        <f>VLOOKUP(A57,Table2[],4,FALSE)</f>
        <v>VPN</v>
      </c>
      <c r="F57" t="str">
        <f>VLOOKUP(A57,Table2[],5,FALSE)</f>
        <v>Landw. Genossenschaft - Murgtalstrasse 1 - 8877 Murg - 102793</v>
      </c>
      <c r="G57" t="s">
        <v>4686</v>
      </c>
      <c r="H57" s="3" t="b">
        <v>1</v>
      </c>
      <c r="I57" s="4" t="s">
        <v>4741</v>
      </c>
    </row>
    <row r="58" spans="1:9" x14ac:dyDescent="0.35">
      <c r="A58">
        <v>101655</v>
      </c>
      <c r="B58" s="1">
        <f>HYPERLINK("https://ipam.lantzerath-group.com/dcim/sites/"&amp;VLOOKUP(A58,Table2[],2,FALSE),VLOOKUP(A58,Table2[],2,FALSE))</f>
        <v>2276</v>
      </c>
      <c r="C58" t="str">
        <f>VLOOKUP(A58,Table2[],3,FALSE)</f>
        <v>Active</v>
      </c>
      <c r="D58">
        <f>VLOOKUP(A58,Table2[],8,FALSE)</f>
        <v>0</v>
      </c>
      <c r="E58" t="str">
        <f>VLOOKUP(A58,Table2[],4,FALSE)</f>
        <v>VPN</v>
      </c>
      <c r="F58" t="str">
        <f>VLOOKUP(A58,Table2[],5,FALSE)</f>
        <v>Daytona Garage AG - Feldstrasse 6 - 5415 Nussbaumen AG - 101655</v>
      </c>
      <c r="G58" t="s">
        <v>4686</v>
      </c>
      <c r="H58" s="3" t="b">
        <v>1</v>
      </c>
      <c r="I58" s="4" t="s">
        <v>4897</v>
      </c>
    </row>
    <row r="59" spans="1:9" x14ac:dyDescent="0.35">
      <c r="A59">
        <v>103781</v>
      </c>
      <c r="B59" s="1">
        <f>HYPERLINK("https://ipam.lantzerath-group.com/dcim/sites/"&amp;VLOOKUP(A59,Table2[],2,FALSE),VLOOKUP(A59,Table2[],2,FALSE))</f>
        <v>2571</v>
      </c>
      <c r="C59" t="str">
        <f>VLOOKUP(A59,Table2[],3,FALSE)</f>
        <v>Active</v>
      </c>
      <c r="D59">
        <f>VLOOKUP(A59,Table2[],8,FALSE)</f>
        <v>0</v>
      </c>
      <c r="E59" t="str">
        <f>VLOOKUP(A59,Table2[],4,FALSE)</f>
        <v>VPN</v>
      </c>
      <c r="F59" t="str">
        <f>VLOOKUP(A59,Table2[],5,FALSE)</f>
        <v>Garage Schafroth AG - Huttwilstrasse 5 - Weier im Emmental - 103781</v>
      </c>
      <c r="G59" t="s">
        <v>4686</v>
      </c>
      <c r="H59" s="3" t="b">
        <v>1</v>
      </c>
      <c r="I59" s="4" t="s">
        <v>4898</v>
      </c>
    </row>
    <row r="60" spans="1:9" x14ac:dyDescent="0.35">
      <c r="A60">
        <v>101941</v>
      </c>
      <c r="B60" s="1">
        <f>HYPERLINK("https://ipam.lantzerath-group.com/dcim/sites/"&amp;VLOOKUP(A60,Table2[],2,FALSE),VLOOKUP(A60,Table2[],2,FALSE))</f>
        <v>2328</v>
      </c>
      <c r="C60" t="str">
        <f>VLOOKUP(A60,Table2[],3,FALSE)</f>
        <v>Active</v>
      </c>
      <c r="D60">
        <f>VLOOKUP(A60,Table2[],8,FALSE)</f>
        <v>0</v>
      </c>
      <c r="E60" t="str">
        <f>VLOOKUP(A60,Table2[],4,FALSE)</f>
        <v>VPN</v>
      </c>
      <c r="F60" t="str">
        <f>VLOOKUP(A60,Table2[],5,FALSE)</f>
        <v>Vicianum Petrolium GmbH - Pra Rond 6 - 1785 Cressier FR - 101941</v>
      </c>
      <c r="G60" t="s">
        <v>4686</v>
      </c>
      <c r="H60" s="3" t="b">
        <v>1</v>
      </c>
      <c r="I60" s="4" t="s">
        <v>4899</v>
      </c>
    </row>
    <row r="61" spans="1:9" x14ac:dyDescent="0.35">
      <c r="A61">
        <v>102328</v>
      </c>
      <c r="B61" s="1">
        <f>HYPERLINK("https://ipam.lantzerath-group.com/dcim/sites/"&amp;VLOOKUP(A61,Table2[],2,FALSE),VLOOKUP(A61,Table2[],2,FALSE))</f>
        <v>2390</v>
      </c>
      <c r="C61" t="str">
        <f>VLOOKUP(A61,Table2[],3,FALSE)</f>
        <v>Active</v>
      </c>
      <c r="D61">
        <f>VLOOKUP(A61,Table2[],8,FALSE)</f>
        <v>0</v>
      </c>
      <c r="E61" t="str">
        <f>VLOOKUP(A61,Table2[],4,FALSE)</f>
        <v>VPN</v>
      </c>
      <c r="F61" t="str">
        <f>VLOOKUP(A61,Table2[],5,FALSE)</f>
        <v>Imbach Getränke + Brennstoffe AG - Oberebenestrasse 15 - 5620 Bremgarten AG - 102328</v>
      </c>
      <c r="G61" t="s">
        <v>4686</v>
      </c>
      <c r="H61" s="3" t="b">
        <v>1</v>
      </c>
      <c r="I61" s="4" t="s">
        <v>4900</v>
      </c>
    </row>
    <row r="62" spans="1:9" x14ac:dyDescent="0.35">
      <c r="A62">
        <v>102285</v>
      </c>
      <c r="B62" s="1">
        <f>HYPERLINK("https://ipam.lantzerath-group.com/dcim/sites/"&amp;VLOOKUP(A62,Table2[],2,FALSE),VLOOKUP(A62,Table2[],2,FALSE))</f>
        <v>2382</v>
      </c>
      <c r="C62" t="str">
        <f>VLOOKUP(A62,Table2[],3,FALSE)</f>
        <v>Active</v>
      </c>
      <c r="D62">
        <f>VLOOKUP(A62,Table2[],8,FALSE)</f>
        <v>0</v>
      </c>
      <c r="E62" t="str">
        <f>VLOOKUP(A62,Table2[],4,FALSE)</f>
        <v>VPN</v>
      </c>
      <c r="F62" t="str">
        <f>VLOOKUP(A62,Table2[],5,FALSE)</f>
        <v>Tank im Rank - 102285</v>
      </c>
      <c r="G62" t="s">
        <v>4686</v>
      </c>
      <c r="H62" s="3" t="b">
        <v>1</v>
      </c>
      <c r="I62" s="4" t="s">
        <v>4880</v>
      </c>
    </row>
    <row r="63" spans="1:9" x14ac:dyDescent="0.35">
      <c r="A63">
        <v>102694</v>
      </c>
      <c r="B63" s="1">
        <f>HYPERLINK("https://ipam.lantzerath-group.com/dcim/sites/"&amp;VLOOKUP(A63,Table2[],2,FALSE),VLOOKUP(A63,Table2[],2,FALSE))</f>
        <v>2444</v>
      </c>
      <c r="C63" t="str">
        <f>VLOOKUP(A63,Table2[],3,FALSE)</f>
        <v>Active</v>
      </c>
      <c r="D63">
        <f>VLOOKUP(A63,Table2[],8,FALSE)</f>
        <v>0</v>
      </c>
      <c r="E63" t="str">
        <f>VLOOKUP(A63,Table2[],4,FALSE)</f>
        <v>VPN</v>
      </c>
      <c r="F63" t="str">
        <f>VLOOKUP(A63,Table2[],5,FALSE)</f>
        <v>André König - Südstrasse 11 - 3250 Lyss - 102694</v>
      </c>
      <c r="G63" t="s">
        <v>4686</v>
      </c>
      <c r="H63" s="3" t="b">
        <v>1</v>
      </c>
      <c r="I63" s="4" t="s">
        <v>4742</v>
      </c>
    </row>
    <row r="64" spans="1:9" x14ac:dyDescent="0.35">
      <c r="A64">
        <v>102293</v>
      </c>
      <c r="B64" s="1">
        <f>HYPERLINK("https://ipam.lantzerath-group.com/dcim/sites/"&amp;VLOOKUP(A64,Table2[],2,FALSE),VLOOKUP(A64,Table2[],2,FALSE))</f>
        <v>2385</v>
      </c>
      <c r="C64" t="str">
        <f>VLOOKUP(A64,Table2[],3,FALSE)</f>
        <v>Active</v>
      </c>
      <c r="D64">
        <f>VLOOKUP(A64,Table2[],8,FALSE)</f>
        <v>0</v>
      </c>
      <c r="E64" t="str">
        <f>VLOOKUP(A64,Table2[],4,FALSE)</f>
        <v>VPN</v>
      </c>
      <c r="F64" t="str">
        <f>VLOOKUP(A64,Table2[],5,FALSE)</f>
        <v>Umbrail Garage GmbH - Do Fuschina 102 - 7536 Santa Maria - 102293</v>
      </c>
      <c r="G64" t="s">
        <v>4686</v>
      </c>
      <c r="H64" s="3" t="b">
        <v>1</v>
      </c>
      <c r="I64" s="4" t="s">
        <v>4901</v>
      </c>
    </row>
    <row r="65" spans="1:9" x14ac:dyDescent="0.35">
      <c r="A65">
        <v>102362</v>
      </c>
      <c r="B65" s="1">
        <f>HYPERLINK("https://ipam.lantzerath-group.com/dcim/sites/"&amp;VLOOKUP(A65,Table2[],2,FALSE),VLOOKUP(A65,Table2[],2,FALSE))</f>
        <v>2395</v>
      </c>
      <c r="C65" t="str">
        <f>VLOOKUP(A65,Table2[],3,FALSE)</f>
        <v>Active</v>
      </c>
      <c r="D65">
        <f>VLOOKUP(A65,Table2[],8,FALSE)</f>
        <v>0</v>
      </c>
      <c r="E65" t="str">
        <f>VLOOKUP(A65,Table2[],4,FALSE)</f>
        <v>VPN</v>
      </c>
      <c r="F65" t="str">
        <f>VLOOKUP(A65,Table2[],5,FALSE)</f>
        <v>Garage Mistral GmbH - Hauptstrasse 5 - 3422 Kirchberg BE - 102362</v>
      </c>
      <c r="G65" t="s">
        <v>4686</v>
      </c>
      <c r="H65" s="3" t="b">
        <v>1</v>
      </c>
      <c r="I65" s="4" t="s">
        <v>4902</v>
      </c>
    </row>
    <row r="66" spans="1:9" x14ac:dyDescent="0.35">
      <c r="A66">
        <v>102796</v>
      </c>
      <c r="B66" s="1">
        <f>HYPERLINK("https://ipam.lantzerath-group.com/dcim/sites/"&amp;VLOOKUP(A66,Table2[],2,FALSE),VLOOKUP(A66,Table2[],2,FALSE))</f>
        <v>2469</v>
      </c>
      <c r="C66" t="str">
        <f>VLOOKUP(A66,Table2[],3,FALSE)</f>
        <v>Active</v>
      </c>
      <c r="D66">
        <f>VLOOKUP(A66,Table2[],8,FALSE)</f>
        <v>0</v>
      </c>
      <c r="E66" t="str">
        <f>VLOOKUP(A66,Table2[],4,FALSE)</f>
        <v>VPN</v>
      </c>
      <c r="F66" t="str">
        <f>VLOOKUP(A66,Table2[],5,FALSE)</f>
        <v>Fiechter AG - Schmittengasse 1 - 5723 Teufenthal AG - 102796</v>
      </c>
      <c r="G66" t="s">
        <v>4686</v>
      </c>
      <c r="H66" s="3" t="b">
        <v>1</v>
      </c>
      <c r="I66" s="4" t="s">
        <v>4903</v>
      </c>
    </row>
    <row r="67" spans="1:9" x14ac:dyDescent="0.35">
      <c r="A67">
        <v>102241</v>
      </c>
      <c r="B67" s="1">
        <f>HYPERLINK("https://ipam.lantzerath-group.com/dcim/sites/"&amp;VLOOKUP(A67,Table2[],2,FALSE),VLOOKUP(A67,Table2[],2,FALSE))</f>
        <v>2372</v>
      </c>
      <c r="C67" t="str">
        <f>VLOOKUP(A67,Table2[],3,FALSE)</f>
        <v>Active</v>
      </c>
      <c r="D67">
        <f>VLOOKUP(A67,Table2[],8,FALSE)</f>
        <v>0</v>
      </c>
      <c r="E67" t="str">
        <f>VLOOKUP(A67,Table2[],4,FALSE)</f>
        <v>VPN</v>
      </c>
      <c r="F67" t="str">
        <f>VLOOKUP(A67,Table2[],5,FALSE)</f>
        <v>Garage Yvon Dubuis SA - Rue de St-Germain 3 1965 Savièse - 102241</v>
      </c>
      <c r="G67" t="s">
        <v>4686</v>
      </c>
      <c r="H67" s="3" t="b">
        <v>1</v>
      </c>
      <c r="I67" s="4" t="s">
        <v>4743</v>
      </c>
    </row>
    <row r="68" spans="1:9" hidden="1" x14ac:dyDescent="0.35">
      <c r="A68">
        <v>101955</v>
      </c>
      <c r="B68" s="1">
        <f>HYPERLINK("https://ipam.lantzerath-group.com/dcim/sites/"&amp;VLOOKUP(A68,Table2[],2,FALSE),VLOOKUP(A68,Table2[],2,FALSE))</f>
        <v>2332</v>
      </c>
      <c r="C68" t="str">
        <f>VLOOKUP(A68,Table2[],3,FALSE)</f>
        <v>Retired</v>
      </c>
      <c r="D68">
        <f>VLOOKUP(A68,Table2[],8,FALSE)</f>
        <v>0</v>
      </c>
      <c r="E68" t="str">
        <f>VLOOKUP(A68,Table2[],4,FALSE)</f>
        <v>VPN</v>
      </c>
      <c r="F68" t="str">
        <f>VLOOKUP(A68,Table2[],5,FALSE)</f>
        <v>Schönegg-Garage AG - Oberlandstrasse 54 - 3700 Spiez - 101955</v>
      </c>
      <c r="G68" t="s">
        <v>4686</v>
      </c>
      <c r="H68" s="3"/>
      <c r="I68" s="3" t="s">
        <v>4744</v>
      </c>
    </row>
    <row r="69" spans="1:9" x14ac:dyDescent="0.35">
      <c r="A69">
        <v>101235</v>
      </c>
      <c r="B69" s="1">
        <f>HYPERLINK("https://ipam.lantzerath-group.com/dcim/sites/"&amp;VLOOKUP(A69,Table2[],2,FALSE),VLOOKUP(A69,Table2[],2,FALSE))</f>
        <v>2254</v>
      </c>
      <c r="C69" t="str">
        <f>VLOOKUP(A69,Table2[],3,FALSE)</f>
        <v>Active</v>
      </c>
      <c r="D69">
        <f>VLOOKUP(A69,Table2[],8,FALSE)</f>
        <v>0</v>
      </c>
      <c r="E69" t="str">
        <f>VLOOKUP(A69,Table2[],4,FALSE)</f>
        <v>VPN</v>
      </c>
      <c r="F69" t="str">
        <f>VLOOKUP(A69,Table2[],5,FALSE)</f>
        <v>Rheingarage Jäger AG - Untere Industrie 2 - 7304 Maienfeld - 101235</v>
      </c>
      <c r="G69" t="s">
        <v>4686</v>
      </c>
      <c r="H69" s="3" t="b">
        <v>1</v>
      </c>
      <c r="I69" s="4" t="s">
        <v>4745</v>
      </c>
    </row>
    <row r="70" spans="1:9" x14ac:dyDescent="0.35">
      <c r="A70">
        <v>103896</v>
      </c>
      <c r="B70" s="1">
        <f>HYPERLINK("https://ipam.lantzerath-group.com/dcim/sites/"&amp;VLOOKUP(A70,Table2[],2,FALSE),VLOOKUP(A70,Table2[],2,FALSE))</f>
        <v>2584</v>
      </c>
      <c r="C70" t="str">
        <f>VLOOKUP(A70,Table2[],3,FALSE)</f>
        <v>Active</v>
      </c>
      <c r="D70">
        <f>VLOOKUP(A70,Table2[],8,FALSE)</f>
        <v>0</v>
      </c>
      <c r="E70" t="str">
        <f>VLOOKUP(A70,Table2[],4,FALSE)</f>
        <v>VPN</v>
      </c>
      <c r="F70" t="str">
        <f>VLOOKUP(A70,Table2[],5,FALSE)</f>
        <v>Lüscher Garage AG - 5037 Muhen - 103896</v>
      </c>
      <c r="G70" t="s">
        <v>4686</v>
      </c>
      <c r="H70" s="3" t="b">
        <v>1</v>
      </c>
      <c r="I70" s="4" t="s">
        <v>4746</v>
      </c>
    </row>
    <row r="71" spans="1:9" x14ac:dyDescent="0.35">
      <c r="A71">
        <v>101736</v>
      </c>
      <c r="B71" s="1">
        <f>HYPERLINK("https://ipam.lantzerath-group.com/dcim/sites/"&amp;VLOOKUP(A71,Table2[],2,FALSE),VLOOKUP(A71,Table2[],2,FALSE))</f>
        <v>2281</v>
      </c>
      <c r="C71" t="str">
        <f>VLOOKUP(A71,Table2[],3,FALSE)</f>
        <v>Active</v>
      </c>
      <c r="D71">
        <f>VLOOKUP(A71,Table2[],8,FALSE)</f>
        <v>0</v>
      </c>
      <c r="E71" t="str">
        <f>VLOOKUP(A71,Table2[],4,FALSE)</f>
        <v>VPN</v>
      </c>
      <c r="F71" t="str">
        <f>VLOOKUP(A71,Table2[],5,FALSE)</f>
        <v>Garage Markus Gut - Glarnerstrasse 47 - Richterswil - 101736</v>
      </c>
      <c r="G71" t="s">
        <v>4686</v>
      </c>
      <c r="H71" s="3" t="b">
        <v>1</v>
      </c>
      <c r="I71" s="4" t="s">
        <v>4747</v>
      </c>
    </row>
    <row r="72" spans="1:9" x14ac:dyDescent="0.35">
      <c r="A72">
        <v>103281</v>
      </c>
      <c r="B72" s="1">
        <f>HYPERLINK("https://ipam.lantzerath-group.com/dcim/sites/"&amp;VLOOKUP(A72,Table2[],2,FALSE),VLOOKUP(A72,Table2[],2,FALSE))</f>
        <v>2514</v>
      </c>
      <c r="C72" t="str">
        <f>VLOOKUP(A72,Table2[],3,FALSE)</f>
        <v>Active</v>
      </c>
      <c r="D72">
        <f>VLOOKUP(A72,Table2[],8,FALSE)</f>
        <v>0</v>
      </c>
      <c r="E72" t="str">
        <f>VLOOKUP(A72,Table2[],4,FALSE)</f>
        <v>VPN</v>
      </c>
      <c r="F72" t="str">
        <f>VLOOKUP(A72,Table2[],5,FALSE)</f>
        <v>MTC Stations SA - Route de Bellegarde 71 - 1284 Chancy - 103281</v>
      </c>
      <c r="G72" t="s">
        <v>4686</v>
      </c>
      <c r="H72" s="3" t="b">
        <v>1</v>
      </c>
      <c r="I72" s="4" t="s">
        <v>4748</v>
      </c>
    </row>
    <row r="73" spans="1:9" x14ac:dyDescent="0.35">
      <c r="A73">
        <v>103202</v>
      </c>
      <c r="B73" s="1">
        <f>HYPERLINK("https://ipam.lantzerath-group.com/dcim/sites/"&amp;VLOOKUP(A73,Table2[],2,FALSE),VLOOKUP(A73,Table2[],2,FALSE))</f>
        <v>2503</v>
      </c>
      <c r="C73" t="str">
        <f>VLOOKUP(A73,Table2[],3,FALSE)</f>
        <v>Active</v>
      </c>
      <c r="D73">
        <f>VLOOKUP(A73,Table2[],8,FALSE)</f>
        <v>0</v>
      </c>
      <c r="E73" t="str">
        <f>VLOOKUP(A73,Table2[],4,FALSE)</f>
        <v>VPN</v>
      </c>
      <c r="F73" t="str">
        <f>VLOOKUP(A73,Table2[],5,FALSE)</f>
        <v>Nicca AG - 103202</v>
      </c>
      <c r="G73" t="s">
        <v>4686</v>
      </c>
      <c r="H73" s="3" t="b">
        <v>1</v>
      </c>
      <c r="I73" s="4" t="s">
        <v>4881</v>
      </c>
    </row>
    <row r="74" spans="1:9" x14ac:dyDescent="0.35">
      <c r="A74">
        <v>102145</v>
      </c>
      <c r="B74" s="1">
        <f>HYPERLINK("https://ipam.lantzerath-group.com/dcim/sites/"&amp;VLOOKUP(A74,Table2[],2,FALSE),VLOOKUP(A74,Table2[],2,FALSE))</f>
        <v>2352</v>
      </c>
      <c r="C74" t="str">
        <f>VLOOKUP(A74,Table2[],3,FALSE)</f>
        <v>Active</v>
      </c>
      <c r="D74">
        <f>VLOOKUP(A74,Table2[],8,FALSE)</f>
        <v>0</v>
      </c>
      <c r="E74" t="str">
        <f>VLOOKUP(A74,Table2[],4,FALSE)</f>
        <v>VPN</v>
      </c>
      <c r="F74" t="str">
        <f>VLOOKUP(A74,Table2[],5,FALSE)</f>
        <v>Hilzinger AG - Schaffhauserstrasse 111 - 8500 Frauenfeld - 102145</v>
      </c>
      <c r="G74" t="s">
        <v>4686</v>
      </c>
      <c r="H74" s="3" t="b">
        <v>1</v>
      </c>
      <c r="I74" s="4" t="s">
        <v>4749</v>
      </c>
    </row>
    <row r="75" spans="1:9" x14ac:dyDescent="0.35">
      <c r="A75">
        <v>102449</v>
      </c>
      <c r="B75" s="1">
        <f>HYPERLINK("https://ipam.lantzerath-group.com/dcim/sites/"&amp;VLOOKUP(A75,Table2[],2,FALSE),VLOOKUP(A75,Table2[],2,FALSE))</f>
        <v>2407</v>
      </c>
      <c r="C75" t="str">
        <f>VLOOKUP(A75,Table2[],3,FALSE)</f>
        <v>Active</v>
      </c>
      <c r="D75">
        <f>VLOOKUP(A75,Table2[],8,FALSE)</f>
        <v>0</v>
      </c>
      <c r="E75" t="str">
        <f>VLOOKUP(A75,Table2[],4,FALSE)</f>
        <v>VPN</v>
      </c>
      <c r="F75" t="str">
        <f>VLOOKUP(A75,Table2[],5,FALSE)</f>
        <v>Garage Wälti AG - Zeughausstrasse 12 - 8887 Mels - 102449</v>
      </c>
      <c r="G75" t="s">
        <v>4686</v>
      </c>
      <c r="H75" s="3" t="b">
        <v>1</v>
      </c>
      <c r="I75" s="4" t="s">
        <v>4750</v>
      </c>
    </row>
    <row r="76" spans="1:9" x14ac:dyDescent="0.35">
      <c r="A76">
        <v>102325</v>
      </c>
      <c r="B76" s="1">
        <f>HYPERLINK("https://ipam.lantzerath-group.com/dcim/sites/"&amp;VLOOKUP(A76,Table2[],2,FALSE),VLOOKUP(A76,Table2[],2,FALSE))</f>
        <v>2389</v>
      </c>
      <c r="C76" t="str">
        <f>VLOOKUP(A76,Table2[],3,FALSE)</f>
        <v>Active</v>
      </c>
      <c r="D76">
        <f>VLOOKUP(A76,Table2[],8,FALSE)</f>
        <v>0</v>
      </c>
      <c r="E76" t="str">
        <f>VLOOKUP(A76,Table2[],4,FALSE)</f>
        <v>VPN</v>
      </c>
      <c r="F76" t="str">
        <f>VLOOKUP(A76,Table2[],5,FALSE)</f>
        <v>Auto Dall'Omo GmbH - Brünigstrasse 32 - 6053 Alpnachstad - 102325</v>
      </c>
      <c r="G76" t="s">
        <v>4686</v>
      </c>
      <c r="H76" s="3" t="b">
        <v>1</v>
      </c>
      <c r="I76" s="4" t="s">
        <v>4751</v>
      </c>
    </row>
    <row r="77" spans="1:9" x14ac:dyDescent="0.35">
      <c r="A77">
        <v>102280</v>
      </c>
      <c r="B77" s="1">
        <f>HYPERLINK("https://ipam.lantzerath-group.com/dcim/sites/"&amp;VLOOKUP(A77,Table2[],2,FALSE),VLOOKUP(A77,Table2[],2,FALSE))</f>
        <v>2379</v>
      </c>
      <c r="C77" t="str">
        <f>VLOOKUP(A77,Table2[],3,FALSE)</f>
        <v>Active</v>
      </c>
      <c r="D77">
        <f>VLOOKUP(A77,Table2[],8,FALSE)</f>
        <v>0</v>
      </c>
      <c r="E77" t="str">
        <f>VLOOKUP(A77,Table2[],4,FALSE)</f>
        <v>VPN</v>
      </c>
      <c r="F77" t="str">
        <f>VLOOKUP(A77,Table2[],5,FALSE)</f>
        <v>Gerber Utzigen AG - Spirchen 142 - 3068 Utzigen - 102280</v>
      </c>
      <c r="G77" t="s">
        <v>4686</v>
      </c>
      <c r="H77" s="3" t="b">
        <v>1</v>
      </c>
      <c r="I77" s="4" t="s">
        <v>4752</v>
      </c>
    </row>
    <row r="78" spans="1:9" x14ac:dyDescent="0.35">
      <c r="A78">
        <v>103970</v>
      </c>
      <c r="B78" s="1">
        <f>HYPERLINK("https://ipam.lantzerath-group.com/dcim/sites/"&amp;VLOOKUP(A78,Table2[],2,FALSE),VLOOKUP(A78,Table2[],2,FALSE))</f>
        <v>2588</v>
      </c>
      <c r="C78" t="str">
        <f>VLOOKUP(A78,Table2[],3,FALSE)</f>
        <v>Active</v>
      </c>
      <c r="D78">
        <f>VLOOKUP(A78,Table2[],8,FALSE)</f>
        <v>0</v>
      </c>
      <c r="E78" t="str">
        <f>VLOOKUP(A78,Table2[],4,FALSE)</f>
        <v>VPN</v>
      </c>
      <c r="F78" t="str">
        <f>VLOOKUP(A78,Table2[],5,FALSE)</f>
        <v>Mattli AG - Gotthardstrasse 16 - 6484 Wassen UR - 103970</v>
      </c>
      <c r="G78" t="s">
        <v>4686</v>
      </c>
      <c r="H78" s="3" t="b">
        <v>1</v>
      </c>
      <c r="I78" s="4" t="s">
        <v>4904</v>
      </c>
    </row>
    <row r="79" spans="1:9" x14ac:dyDescent="0.35">
      <c r="A79">
        <v>101992</v>
      </c>
      <c r="B79" s="1">
        <f>HYPERLINK("https://ipam.lantzerath-group.com/dcim/sites/"&amp;VLOOKUP(A79,Table2[],2,FALSE),VLOOKUP(A79,Table2[],2,FALSE))</f>
        <v>2337</v>
      </c>
      <c r="C79" t="str">
        <f>VLOOKUP(A79,Table2[],3,FALSE)</f>
        <v>Active</v>
      </c>
      <c r="D79">
        <f>VLOOKUP(A79,Table2[],8,FALSE)</f>
        <v>0</v>
      </c>
      <c r="E79" t="str">
        <f>VLOOKUP(A79,Table2[],4,FALSE)</f>
        <v>VPN</v>
      </c>
      <c r="F79" t="str">
        <f>VLOOKUP(A79,Table2[],5,FALSE)</f>
        <v>Garage St-Christophe - Route de Troistorrents 55 - 1872 Troistorrents - 101992</v>
      </c>
      <c r="G79" t="s">
        <v>4686</v>
      </c>
      <c r="H79" s="3" t="b">
        <v>1</v>
      </c>
      <c r="I79" s="4" t="s">
        <v>4753</v>
      </c>
    </row>
    <row r="80" spans="1:9" x14ac:dyDescent="0.35">
      <c r="A80">
        <v>103989</v>
      </c>
      <c r="B80" s="1">
        <f>HYPERLINK("https://ipam.lantzerath-group.com/dcim/sites/"&amp;VLOOKUP(A80,Table2[],2,FALSE),VLOOKUP(A80,Table2[],2,FALSE))</f>
        <v>2594</v>
      </c>
      <c r="C80" t="str">
        <f>VLOOKUP(A80,Table2[],3,FALSE)</f>
        <v>Active</v>
      </c>
      <c r="D80">
        <f>VLOOKUP(A80,Table2[],8,FALSE)</f>
        <v>0</v>
      </c>
      <c r="E80" t="str">
        <f>VLOOKUP(A80,Table2[],4,FALSE)</f>
        <v>VPN</v>
      </c>
      <c r="F80" t="str">
        <f>VLOOKUP(A80,Table2[],5,FALSE)</f>
        <v>Gebr. Blum AG - Steinacher 3 - 6264 Pfaffnau - 103989</v>
      </c>
      <c r="G80" t="s">
        <v>4686</v>
      </c>
      <c r="H80" s="3" t="b">
        <v>1</v>
      </c>
      <c r="I80" s="4" t="s">
        <v>4754</v>
      </c>
    </row>
    <row r="81" spans="1:9" x14ac:dyDescent="0.35">
      <c r="A81">
        <v>103710</v>
      </c>
      <c r="B81" s="1">
        <f>HYPERLINK("https://ipam.lantzerath-group.com/dcim/sites/"&amp;VLOOKUP(A81,Table2[],2,FALSE),VLOOKUP(A81,Table2[],2,FALSE))</f>
        <v>2558</v>
      </c>
      <c r="C81" t="str">
        <f>VLOOKUP(A81,Table2[],3,FALSE)</f>
        <v>Active</v>
      </c>
      <c r="D81">
        <f>VLOOKUP(A81,Table2[],8,FALSE)</f>
        <v>0</v>
      </c>
      <c r="E81" t="str">
        <f>VLOOKUP(A81,Table2[],4,FALSE)</f>
        <v>VPN</v>
      </c>
      <c r="F81" t="str">
        <f>VLOOKUP(A81,Table2[],5,FALSE)</f>
        <v>Badertscher Handels und Invest AG - Gewerbestrasse 9 - 8451 Kleinandelfingen - 103710</v>
      </c>
      <c r="G81" t="s">
        <v>4686</v>
      </c>
      <c r="H81" s="3" t="b">
        <v>1</v>
      </c>
      <c r="I81" s="4" t="s">
        <v>4755</v>
      </c>
    </row>
    <row r="82" spans="1:9" x14ac:dyDescent="0.35">
      <c r="A82">
        <v>104014</v>
      </c>
      <c r="B82" s="1">
        <f>HYPERLINK("https://ipam.lantzerath-group.com/dcim/sites/"&amp;VLOOKUP(A82,Table2[],2,FALSE),VLOOKUP(A82,Table2[],2,FALSE))</f>
        <v>2600</v>
      </c>
      <c r="C82" t="str">
        <f>VLOOKUP(A82,Table2[],3,FALSE)</f>
        <v>Active</v>
      </c>
      <c r="D82">
        <f>VLOOKUP(A82,Table2[],8,FALSE)</f>
        <v>0</v>
      </c>
      <c r="E82" t="str">
        <f>VLOOKUP(A82,Table2[],4,FALSE)</f>
        <v>VPN</v>
      </c>
      <c r="F82" t="str">
        <f>VLOOKUP(A82,Table2[],5,FALSE)</f>
        <v>Badertscher Handels und Invest AG - Diessenhofenstrasse 38 - 8466 Trüllikon - 104014</v>
      </c>
      <c r="G82" t="s">
        <v>4686</v>
      </c>
      <c r="H82" s="3" t="b">
        <v>1</v>
      </c>
      <c r="I82" s="4" t="s">
        <v>4756</v>
      </c>
    </row>
    <row r="83" spans="1:9" x14ac:dyDescent="0.35">
      <c r="A83">
        <v>102679</v>
      </c>
      <c r="B83" s="1">
        <f>HYPERLINK("https://ipam.lantzerath-group.com/dcim/sites/"&amp;VLOOKUP(A83,Table2[],2,FALSE),VLOOKUP(A83,Table2[],2,FALSE))</f>
        <v>2442</v>
      </c>
      <c r="C83" t="str">
        <f>VLOOKUP(A83,Table2[],3,FALSE)</f>
        <v>Active</v>
      </c>
      <c r="D83">
        <f>VLOOKUP(A83,Table2[],8,FALSE)</f>
        <v>0</v>
      </c>
      <c r="E83" t="str">
        <f>VLOOKUP(A83,Table2[],4,FALSE)</f>
        <v>VPN</v>
      </c>
      <c r="F83" t="str">
        <f>VLOOKUP(A83,Table2[],5,FALSE)</f>
        <v>Garage de Gryon - Chemin du Carroz 1 - 1882 Gryon - 102679</v>
      </c>
      <c r="G83" t="s">
        <v>4686</v>
      </c>
      <c r="H83" s="3" t="b">
        <v>1</v>
      </c>
      <c r="I83" s="4" t="s">
        <v>4757</v>
      </c>
    </row>
    <row r="84" spans="1:9" x14ac:dyDescent="0.35">
      <c r="A84">
        <v>101879</v>
      </c>
      <c r="B84" s="1">
        <f>HYPERLINK("https://ipam.lantzerath-group.com/dcim/sites/"&amp;VLOOKUP(A84,Table2[],2,FALSE),VLOOKUP(A84,Table2[],2,FALSE))</f>
        <v>2310</v>
      </c>
      <c r="C84" t="str">
        <f>VLOOKUP(A84,Table2[],3,FALSE)</f>
        <v>Active</v>
      </c>
      <c r="D84">
        <f>VLOOKUP(A84,Table2[],8,FALSE)</f>
        <v>0</v>
      </c>
      <c r="E84" t="str">
        <f>VLOOKUP(A84,Table2[],4,FALSE)</f>
        <v>VPN</v>
      </c>
      <c r="F84" t="str">
        <f>VLOOKUP(A84,Table2[],5,FALSE)</f>
        <v>Loretz Autogarage - 101879</v>
      </c>
      <c r="G84" t="s">
        <v>4686</v>
      </c>
      <c r="H84" s="3" t="b">
        <v>1</v>
      </c>
      <c r="I84" s="4" t="s">
        <v>4882</v>
      </c>
    </row>
    <row r="85" spans="1:9" x14ac:dyDescent="0.35">
      <c r="A85">
        <v>102236</v>
      </c>
      <c r="B85" s="1">
        <f>HYPERLINK("https://ipam.lantzerath-group.com/dcim/sites/"&amp;VLOOKUP(A85,Table2[],2,FALSE),VLOOKUP(A85,Table2[],2,FALSE))</f>
        <v>2370</v>
      </c>
      <c r="C85" t="str">
        <f>VLOOKUP(A85,Table2[],3,FALSE)</f>
        <v>Active</v>
      </c>
      <c r="D85">
        <f>VLOOKUP(A85,Table2[],8,FALSE)</f>
        <v>0</v>
      </c>
      <c r="E85" t="str">
        <f>VLOOKUP(A85,Table2[],4,FALSE)</f>
        <v>VPN</v>
      </c>
      <c r="F85" t="str">
        <f>VLOOKUP(A85,Table2[],5,FALSE)</f>
        <v>Auto Heller AG Buochs - Stanserstrasse 1 - 6374 Buochs - 102236</v>
      </c>
      <c r="G85" t="s">
        <v>4686</v>
      </c>
      <c r="H85" s="3" t="b">
        <v>1</v>
      </c>
      <c r="I85" s="4" t="s">
        <v>4758</v>
      </c>
    </row>
    <row r="86" spans="1:9" x14ac:dyDescent="0.35">
      <c r="A86">
        <v>102642</v>
      </c>
      <c r="B86" s="1">
        <f>HYPERLINK("https://ipam.lantzerath-group.com/dcim/sites/"&amp;VLOOKUP(A86,Table2[],2,FALSE),VLOOKUP(A86,Table2[],2,FALSE))</f>
        <v>2436</v>
      </c>
      <c r="C86" t="str">
        <f>VLOOKUP(A86,Table2[],3,FALSE)</f>
        <v>Active</v>
      </c>
      <c r="D86">
        <f>VLOOKUP(A86,Table2[],8,FALSE)</f>
        <v>0</v>
      </c>
      <c r="E86" t="str">
        <f>VLOOKUP(A86,Table2[],4,FALSE)</f>
        <v>VPN</v>
      </c>
      <c r="F86" t="str">
        <f>VLOOKUP(A86,Table2[],5,FALSE)</f>
        <v>Cantiere Nautico - Campo Felice - 6598 Tenero - 102642</v>
      </c>
      <c r="G86" t="s">
        <v>4686</v>
      </c>
      <c r="H86" s="3" t="b">
        <v>1</v>
      </c>
      <c r="I86" s="4" t="s">
        <v>4759</v>
      </c>
    </row>
    <row r="87" spans="1:9" x14ac:dyDescent="0.35">
      <c r="A87">
        <v>103988</v>
      </c>
      <c r="B87" s="1">
        <f>HYPERLINK("https://ipam.lantzerath-group.com/dcim/sites/"&amp;VLOOKUP(A87,Table2[],2,FALSE),VLOOKUP(A87,Table2[],2,FALSE))</f>
        <v>2593</v>
      </c>
      <c r="C87" t="str">
        <f>VLOOKUP(A87,Table2[],3,FALSE)</f>
        <v>Active</v>
      </c>
      <c r="D87">
        <f>VLOOKUP(A87,Table2[],8,FALSE)</f>
        <v>0</v>
      </c>
      <c r="E87" t="str">
        <f>VLOOKUP(A87,Table2[],4,FALSE)</f>
        <v>VPN</v>
      </c>
      <c r="F87" t="str">
        <f>VLOOKUP(A87,Table2[],5,FALSE)</f>
        <v>Port des Garinettes - 1586 Vallamand - 103988</v>
      </c>
      <c r="G87" t="s">
        <v>4686</v>
      </c>
      <c r="H87" s="3" t="b">
        <v>1</v>
      </c>
      <c r="I87" s="4" t="s">
        <v>4760</v>
      </c>
    </row>
    <row r="88" spans="1:9" x14ac:dyDescent="0.35">
      <c r="A88">
        <v>102146</v>
      </c>
      <c r="B88" s="1">
        <f>HYPERLINK("https://ipam.lantzerath-group.com/dcim/sites/"&amp;VLOOKUP(A88,Table2[],2,FALSE),VLOOKUP(A88,Table2[],2,FALSE))</f>
        <v>2353</v>
      </c>
      <c r="C88" t="str">
        <f>VLOOKUP(A88,Table2[],3,FALSE)</f>
        <v>Active</v>
      </c>
      <c r="D88">
        <f>VLOOKUP(A88,Table2[],8,FALSE)</f>
        <v>0</v>
      </c>
      <c r="E88" t="str">
        <f>VLOOKUP(A88,Table2[],4,FALSE)</f>
        <v>VPN</v>
      </c>
      <c r="F88" t="str">
        <f>VLOOKUP(A88,Table2[],5,FALSE)</f>
        <v>Gebr. Siegenthaler AG - Wald - 6197 Schangnau - 102146</v>
      </c>
      <c r="G88" t="s">
        <v>4686</v>
      </c>
      <c r="H88" s="3" t="b">
        <v>1</v>
      </c>
      <c r="I88" s="4" t="s">
        <v>4761</v>
      </c>
    </row>
    <row r="89" spans="1:9" x14ac:dyDescent="0.35">
      <c r="A89">
        <v>102561</v>
      </c>
      <c r="B89" s="1">
        <f>HYPERLINK("https://ipam.lantzerath-group.com/dcim/sites/"&amp;VLOOKUP(A89,Table2[],2,FALSE),VLOOKUP(A89,Table2[],2,FALSE))</f>
        <v>2425</v>
      </c>
      <c r="C89" t="str">
        <f>VLOOKUP(A89,Table2[],3,FALSE)</f>
        <v>Active</v>
      </c>
      <c r="D89">
        <f>VLOOKUP(A89,Table2[],8,FALSE)</f>
        <v>0</v>
      </c>
      <c r="E89" t="str">
        <f>VLOOKUP(A89,Table2[],4,FALSE)</f>
        <v>VPN</v>
      </c>
      <c r="F89" t="str">
        <f>VLOOKUP(A89,Table2[],5,FALSE)</f>
        <v>Spymag AG - Schlossmattstrasse 10 - 3600 Thun - 102561</v>
      </c>
      <c r="G89" t="s">
        <v>4686</v>
      </c>
      <c r="H89" s="3" t="b">
        <v>1</v>
      </c>
      <c r="I89" s="4" t="s">
        <v>4762</v>
      </c>
    </row>
    <row r="90" spans="1:9" x14ac:dyDescent="0.35">
      <c r="A90">
        <v>103073</v>
      </c>
      <c r="B90" s="1">
        <f>HYPERLINK("https://ipam.lantzerath-group.com/dcim/sites/"&amp;VLOOKUP(A90,Table2[],2,FALSE),VLOOKUP(A90,Table2[],2,FALSE))</f>
        <v>2486</v>
      </c>
      <c r="C90" t="str">
        <f>VLOOKUP(A90,Table2[],3,FALSE)</f>
        <v>Active</v>
      </c>
      <c r="D90">
        <f>VLOOKUP(A90,Table2[],8,FALSE)</f>
        <v>0</v>
      </c>
      <c r="E90" t="str">
        <f>VLOOKUP(A90,Table2[],4,FALSE)</f>
        <v>VPN</v>
      </c>
      <c r="F90" t="str">
        <f>VLOOKUP(A90,Table2[],5,FALSE)</f>
        <v>Grenzshop Martina - Via dal Dazi 241 - 7560 Martina - 103073</v>
      </c>
      <c r="G90" t="s">
        <v>4686</v>
      </c>
      <c r="H90" s="3" t="b">
        <v>1</v>
      </c>
      <c r="I90" s="4" t="s">
        <v>4763</v>
      </c>
    </row>
    <row r="91" spans="1:9" x14ac:dyDescent="0.35">
      <c r="A91">
        <v>103573</v>
      </c>
      <c r="B91" s="1">
        <f>HYPERLINK("https://ipam.lantzerath-group.com/dcim/sites/"&amp;VLOOKUP(A91,Table2[],2,FALSE),VLOOKUP(A91,Table2[],2,FALSE))</f>
        <v>2537</v>
      </c>
      <c r="C91" t="str">
        <f>VLOOKUP(A91,Table2[],3,FALSE)</f>
        <v>Active</v>
      </c>
      <c r="D91">
        <f>VLOOKUP(A91,Table2[],8,FALSE)</f>
        <v>0</v>
      </c>
      <c r="E91" t="str">
        <f>VLOOKUP(A91,Table2[],4,FALSE)</f>
        <v>VPN</v>
      </c>
      <c r="F91" t="str">
        <f>VLOOKUP(A91,Table2[],5,FALSE)</f>
        <v>Marcel André TS - 103573</v>
      </c>
      <c r="G91" t="s">
        <v>4686</v>
      </c>
      <c r="H91" s="3" t="b">
        <v>1</v>
      </c>
      <c r="I91" s="4" t="s">
        <v>4883</v>
      </c>
    </row>
    <row r="92" spans="1:9" x14ac:dyDescent="0.35">
      <c r="A92">
        <v>102733</v>
      </c>
      <c r="B92" s="1">
        <f>HYPERLINK("https://ipam.lantzerath-group.com/dcim/sites/"&amp;VLOOKUP(A92,Table2[],2,FALSE),VLOOKUP(A92,Table2[],2,FALSE))</f>
        <v>2451</v>
      </c>
      <c r="C92" t="str">
        <f>VLOOKUP(A92,Table2[],3,FALSE)</f>
        <v>Active</v>
      </c>
      <c r="D92">
        <f>VLOOKUP(A92,Table2[],8,FALSE)</f>
        <v>0</v>
      </c>
      <c r="E92" t="str">
        <f>VLOOKUP(A92,Table2[],4,FALSE)</f>
        <v>VPN</v>
      </c>
      <c r="F92" t="str">
        <f>VLOOKUP(A92,Table2[],5,FALSE)</f>
        <v>Kleintalgarage - Kantonsstrasse - 8765 Engi - 102733</v>
      </c>
      <c r="G92" t="s">
        <v>4686</v>
      </c>
      <c r="H92" s="3" t="b">
        <v>1</v>
      </c>
      <c r="I92" s="4" t="s">
        <v>4764</v>
      </c>
    </row>
    <row r="93" spans="1:9" x14ac:dyDescent="0.35">
      <c r="A93">
        <v>102220</v>
      </c>
      <c r="B93" s="1">
        <f>HYPERLINK("https://ipam.lantzerath-group.com/dcim/sites/"&amp;VLOOKUP(A93,Table2[],2,FALSE),VLOOKUP(A93,Table2[],2,FALSE))</f>
        <v>2369</v>
      </c>
      <c r="C93" t="str">
        <f>VLOOKUP(A93,Table2[],3,FALSE)</f>
        <v>Active</v>
      </c>
      <c r="D93">
        <f>VLOOKUP(A93,Table2[],8,FALSE)</f>
        <v>0</v>
      </c>
      <c r="E93" t="str">
        <f>VLOOKUP(A93,Table2[],4,FALSE)</f>
        <v>VPN</v>
      </c>
      <c r="F93" t="str">
        <f>VLOOKUP(A93,Table2[],5,FALSE)</f>
        <v>Ryter-Reichenbach -Gsteigstarsse -Gstaad - 102220</v>
      </c>
      <c r="G93" t="s">
        <v>4686</v>
      </c>
      <c r="H93" s="3" t="b">
        <v>1</v>
      </c>
      <c r="I93" s="4" t="s">
        <v>4765</v>
      </c>
    </row>
    <row r="94" spans="1:9" x14ac:dyDescent="0.35">
      <c r="A94">
        <v>102709</v>
      </c>
      <c r="B94" s="1">
        <f>HYPERLINK("https://ipam.lantzerath-group.com/dcim/sites/"&amp;VLOOKUP(A94,Table2[],2,FALSE),VLOOKUP(A94,Table2[],2,FALSE))</f>
        <v>2450</v>
      </c>
      <c r="C94" t="str">
        <f>VLOOKUP(A94,Table2[],3,FALSE)</f>
        <v>Active</v>
      </c>
      <c r="D94">
        <f>VLOOKUP(A94,Table2[],8,FALSE)</f>
        <v>0</v>
      </c>
      <c r="E94" t="str">
        <f>VLOOKUP(A94,Table2[],4,FALSE)</f>
        <v>VPN</v>
      </c>
      <c r="F94" t="str">
        <f>VLOOKUP(A94,Table2[],5,FALSE)</f>
        <v>Eredi Fu Lanzi Franco - Strada Vecchia 127 - 6675 Cevio - 102709</v>
      </c>
      <c r="G94" t="s">
        <v>4686</v>
      </c>
      <c r="H94" s="3" t="b">
        <v>1</v>
      </c>
      <c r="I94" s="4" t="s">
        <v>4766</v>
      </c>
    </row>
    <row r="95" spans="1:9" x14ac:dyDescent="0.35">
      <c r="A95">
        <v>104075</v>
      </c>
      <c r="B95" s="1">
        <f>HYPERLINK("https://ipam.lantzerath-group.com/dcim/sites/"&amp;VLOOKUP(A95,Table2[],2,FALSE),VLOOKUP(A95,Table2[],2,FALSE))</f>
        <v>2607</v>
      </c>
      <c r="C95" t="str">
        <f>VLOOKUP(A95,Table2[],3,FALSE)</f>
        <v>Active</v>
      </c>
      <c r="D95">
        <f>VLOOKUP(A95,Table2[],8,FALSE)</f>
        <v>0</v>
      </c>
      <c r="E95" t="str">
        <f>VLOOKUP(A95,Table2[],4,FALSE)</f>
        <v>VPN</v>
      </c>
      <c r="F95" t="str">
        <f>VLOOKUP(A95,Table2[],5,FALSE)</f>
        <v>LGG HANDELS AG - Bischofszellerstrasse 61 - 9202 Gossau - 104075</v>
      </c>
      <c r="G95" t="s">
        <v>4686</v>
      </c>
      <c r="H95" s="3" t="b">
        <v>1</v>
      </c>
      <c r="I95" s="4" t="s">
        <v>4767</v>
      </c>
    </row>
    <row r="96" spans="1:9" x14ac:dyDescent="0.35">
      <c r="A96">
        <v>101913</v>
      </c>
      <c r="B96" s="1">
        <f>HYPERLINK("https://ipam.lantzerath-group.com/dcim/sites/"&amp;VLOOKUP(A96,Table2[],2,FALSE),VLOOKUP(A96,Table2[],2,FALSE))</f>
        <v>2318</v>
      </c>
      <c r="C96" t="str">
        <f>VLOOKUP(A96,Table2[],3,FALSE)</f>
        <v>Active</v>
      </c>
      <c r="D96">
        <f>VLOOKUP(A96,Table2[],8,FALSE)</f>
        <v>0</v>
      </c>
      <c r="E96" t="str">
        <f>VLOOKUP(A96,Table2[],4,FALSE)</f>
        <v>VPN</v>
      </c>
      <c r="F96" t="str">
        <f>VLOOKUP(A96,Table2[],5,FALSE)</f>
        <v>Liniger Tankstelle - Bielstrasse 43 - Aarberg - 101913</v>
      </c>
      <c r="G96" t="s">
        <v>4686</v>
      </c>
      <c r="H96" s="3" t="b">
        <v>1</v>
      </c>
      <c r="I96" s="4" t="s">
        <v>4768</v>
      </c>
    </row>
    <row r="97" spans="1:9" x14ac:dyDescent="0.35">
      <c r="A97">
        <v>102759</v>
      </c>
      <c r="B97" s="1">
        <f>HYPERLINK("https://ipam.lantzerath-group.com/dcim/sites/"&amp;VLOOKUP(A97,Table2[],2,FALSE),VLOOKUP(A97,Table2[],2,FALSE))</f>
        <v>2462</v>
      </c>
      <c r="C97" t="str">
        <f>VLOOKUP(A97,Table2[],3,FALSE)</f>
        <v>Active</v>
      </c>
      <c r="D97">
        <f>VLOOKUP(A97,Table2[],8,FALSE)</f>
        <v>0</v>
      </c>
      <c r="E97" t="str">
        <f>VLOOKUP(A97,Table2[],4,FALSE)</f>
        <v>VPN</v>
      </c>
      <c r="F97" t="str">
        <f>VLOOKUP(A97,Table2[],5,FALSE)</f>
        <v>Municipio di Sonogno - 6637 Sonogno - 102759</v>
      </c>
      <c r="G97" t="s">
        <v>4686</v>
      </c>
      <c r="H97" s="3" t="b">
        <v>1</v>
      </c>
      <c r="I97" s="4" t="s">
        <v>4769</v>
      </c>
    </row>
    <row r="98" spans="1:9" x14ac:dyDescent="0.35">
      <c r="A98">
        <v>102593</v>
      </c>
      <c r="B98" s="1">
        <f>HYPERLINK("https://ipam.lantzerath-group.com/dcim/sites/"&amp;VLOOKUP(A98,Table2[],2,FALSE),VLOOKUP(A98,Table2[],2,FALSE))</f>
        <v>2429</v>
      </c>
      <c r="C98" t="str">
        <f>VLOOKUP(A98,Table2[],3,FALSE)</f>
        <v>Active</v>
      </c>
      <c r="D98">
        <f>VLOOKUP(A98,Table2[],8,FALSE)</f>
        <v>0</v>
      </c>
      <c r="E98" t="str">
        <f>VLOOKUP(A98,Table2[],4,FALSE)</f>
        <v>VPN</v>
      </c>
      <c r="F98" t="str">
        <f>VLOOKUP(A98,Table2[],5,FALSE)</f>
        <v>Auto Bugmann - Surbtalstrasse 28 - 5312 Döttingen - 102593</v>
      </c>
      <c r="G98" t="s">
        <v>4686</v>
      </c>
      <c r="H98" s="3" t="b">
        <v>1</v>
      </c>
      <c r="I98" s="4" t="s">
        <v>4770</v>
      </c>
    </row>
    <row r="99" spans="1:9" x14ac:dyDescent="0.35">
      <c r="A99">
        <v>103901</v>
      </c>
      <c r="B99" s="1">
        <f>HYPERLINK("https://ipam.lantzerath-group.com/dcim/sites/"&amp;VLOOKUP(A99,Table2[],2,FALSE),VLOOKUP(A99,Table2[],2,FALSE))</f>
        <v>2586</v>
      </c>
      <c r="C99" t="str">
        <f>VLOOKUP(A99,Table2[],3,FALSE)</f>
        <v>Active</v>
      </c>
      <c r="D99">
        <f>VLOOKUP(A99,Table2[],8,FALSE)</f>
        <v>0</v>
      </c>
      <c r="E99" t="str">
        <f>VLOOKUP(A99,Table2[],4,FALSE)</f>
        <v>VPN</v>
      </c>
      <c r="F99" t="str">
        <f>VLOOKUP(A99,Table2[],5,FALSE)</f>
        <v>Touring-Garage &amp; Carrosserie AG - Corneliastrasse 10 - 8965 Berikon - 103901</v>
      </c>
      <c r="G99" t="s">
        <v>4686</v>
      </c>
      <c r="H99" s="3" t="b">
        <v>1</v>
      </c>
      <c r="I99" s="4" t="s">
        <v>4771</v>
      </c>
    </row>
    <row r="100" spans="1:9" x14ac:dyDescent="0.35">
      <c r="A100">
        <v>103499</v>
      </c>
      <c r="B100" s="1">
        <f>HYPERLINK("https://ipam.lantzerath-group.com/dcim/sites/"&amp;VLOOKUP(A100,Table2[],2,FALSE),VLOOKUP(A100,Table2[],2,FALSE))</f>
        <v>2533</v>
      </c>
      <c r="C100" t="str">
        <f>VLOOKUP(A100,Table2[],3,FALSE)</f>
        <v>Active</v>
      </c>
      <c r="D100">
        <f>VLOOKUP(A100,Table2[],8,FALSE)</f>
        <v>0</v>
      </c>
      <c r="E100" t="str">
        <f>VLOOKUP(A100,Table2[],4,FALSE)</f>
        <v>VPN</v>
      </c>
      <c r="F100" t="str">
        <f>VLOOKUP(A100,Table2[],5,FALSE)</f>
        <v>Suisse Petroli SA - Via del Breggia 15 - 6833 Vacallo - 103499</v>
      </c>
      <c r="G100" t="s">
        <v>4686</v>
      </c>
      <c r="H100" s="3" t="b">
        <v>1</v>
      </c>
      <c r="I100" s="4" t="s">
        <v>4772</v>
      </c>
    </row>
    <row r="101" spans="1:9" x14ac:dyDescent="0.35">
      <c r="A101">
        <v>104107</v>
      </c>
      <c r="B101" s="1">
        <f>HYPERLINK("https://ipam.lantzerath-group.com/dcim/sites/"&amp;VLOOKUP(A101,Table2[],2,FALSE),VLOOKUP(A101,Table2[],2,FALSE))</f>
        <v>2612</v>
      </c>
      <c r="C101" t="str">
        <f>VLOOKUP(A101,Table2[],3,FALSE)</f>
        <v>Active</v>
      </c>
      <c r="D101">
        <f>VLOOKUP(A101,Table2[],8,FALSE)</f>
        <v>0</v>
      </c>
      <c r="E101" t="str">
        <f>VLOOKUP(A101,Table2[],4,FALSE)</f>
        <v>VPN</v>
      </c>
      <c r="F101" t="str">
        <f>VLOOKUP(A101,Table2[],5,FALSE)</f>
        <v>IBB Energie AG - Zürcherstrasse 3 - 5210 Windisch - 104107</v>
      </c>
      <c r="G101" t="s">
        <v>4686</v>
      </c>
      <c r="H101" s="3" t="b">
        <v>1</v>
      </c>
      <c r="I101" s="4" t="s">
        <v>4773</v>
      </c>
    </row>
    <row r="102" spans="1:9" x14ac:dyDescent="0.35">
      <c r="A102">
        <v>104155</v>
      </c>
      <c r="B102" s="1">
        <f>HYPERLINK("https://ipam.lantzerath-group.com/dcim/sites/"&amp;VLOOKUP(A102,Table2[],2,FALSE),VLOOKUP(A102,Table2[],2,FALSE))</f>
        <v>2617</v>
      </c>
      <c r="C102" t="str">
        <f>VLOOKUP(A102,Table2[],3,FALSE)</f>
        <v>Active</v>
      </c>
      <c r="D102">
        <f>VLOOKUP(A102,Table2[],8,FALSE)</f>
        <v>0</v>
      </c>
      <c r="E102" t="str">
        <f>VLOOKUP(A102,Table2[],4,FALSE)</f>
        <v>VPN</v>
      </c>
      <c r="F102" t="str">
        <f>VLOOKUP(A102,Table2[],5,FALSE)</f>
        <v>Pfenniger Garage  AG - 104155</v>
      </c>
      <c r="G102" t="s">
        <v>4686</v>
      </c>
      <c r="H102" s="3" t="b">
        <v>1</v>
      </c>
      <c r="I102" s="4" t="s">
        <v>4884</v>
      </c>
    </row>
    <row r="103" spans="1:9" x14ac:dyDescent="0.35">
      <c r="A103">
        <v>104219</v>
      </c>
      <c r="B103" s="1">
        <f>HYPERLINK("https://ipam.lantzerath-group.com/dcim/sites/"&amp;VLOOKUP(A103,Table2[],2,FALSE),VLOOKUP(A103,Table2[],2,FALSE))</f>
        <v>2620</v>
      </c>
      <c r="C103" t="str">
        <f>VLOOKUP(A103,Table2[],3,FALSE)</f>
        <v>Active</v>
      </c>
      <c r="D103">
        <f>VLOOKUP(A103,Table2[],8,FALSE)</f>
        <v>0</v>
      </c>
      <c r="E103" t="str">
        <f>VLOOKUP(A103,Table2[],4,FALSE)</f>
        <v>VPN</v>
      </c>
      <c r="F103" t="str">
        <f>VLOOKUP(A103,Table2[],5,FALSE)</f>
        <v>Regionalwerke Baden - Im Roggebode 1 - 5401 Baden - 104219</v>
      </c>
      <c r="G103" t="s">
        <v>4686</v>
      </c>
      <c r="H103" s="3" t="b">
        <v>1</v>
      </c>
      <c r="I103" s="4" t="s">
        <v>4774</v>
      </c>
    </row>
    <row r="104" spans="1:9" x14ac:dyDescent="0.35">
      <c r="A104">
        <v>103497</v>
      </c>
      <c r="B104" s="1">
        <f>HYPERLINK("https://ipam.lantzerath-group.com/dcim/sites/"&amp;VLOOKUP(A104,Table2[],2,FALSE),VLOOKUP(A104,Table2[],2,FALSE))</f>
        <v>2531</v>
      </c>
      <c r="C104" t="str">
        <f>VLOOKUP(A104,Table2[],3,FALSE)</f>
        <v>Active</v>
      </c>
      <c r="D104">
        <f>VLOOKUP(A104,Table2[],8,FALSE)</f>
        <v>0</v>
      </c>
      <c r="E104" t="str">
        <f>VLOOKUP(A104,Table2[],4,FALSE)</f>
        <v>VPN</v>
      </c>
      <c r="F104" t="str">
        <f>VLOOKUP(A104,Table2[],5,FALSE)</f>
        <v>Scall Tankstelle - Bielstrasse 35 - 3250 Lyss - 103497</v>
      </c>
      <c r="G104" t="s">
        <v>4686</v>
      </c>
      <c r="H104" s="3" t="b">
        <v>1</v>
      </c>
      <c r="I104" s="4" t="s">
        <v>4775</v>
      </c>
    </row>
    <row r="105" spans="1:9" x14ac:dyDescent="0.35">
      <c r="A105">
        <v>104238</v>
      </c>
      <c r="B105" s="1">
        <f>HYPERLINK("https://ipam.lantzerath-group.com/dcim/sites/"&amp;VLOOKUP(A105,Table2[],2,FALSE),VLOOKUP(A105,Table2[],2,FALSE))</f>
        <v>2625</v>
      </c>
      <c r="C105" t="str">
        <f>VLOOKUP(A105,Table2[],3,FALSE)</f>
        <v>Active</v>
      </c>
      <c r="D105">
        <f>VLOOKUP(A105,Table2[],8,FALSE)</f>
        <v>0</v>
      </c>
      <c r="E105" t="str">
        <f>VLOOKUP(A105,Table2[],4,FALSE)</f>
        <v>VPN</v>
      </c>
      <c r="F105" t="str">
        <f>VLOOKUP(A105,Table2[],5,FALSE)</f>
        <v>Andex &amp; Co. - Bernstrasse 84 - 8964 Rudolfstetten - 104238</v>
      </c>
      <c r="G105" t="s">
        <v>4686</v>
      </c>
      <c r="H105" s="3" t="b">
        <v>1</v>
      </c>
      <c r="I105" s="4" t="s">
        <v>4776</v>
      </c>
    </row>
    <row r="106" spans="1:9" x14ac:dyDescent="0.35">
      <c r="A106">
        <v>103688</v>
      </c>
      <c r="B106" s="1">
        <f>HYPERLINK("https://ipam.lantzerath-group.com/dcim/sites/"&amp;VLOOKUP(A106,Table2[],2,FALSE),VLOOKUP(A106,Table2[],2,FALSE))</f>
        <v>2557</v>
      </c>
      <c r="C106" t="str">
        <f>VLOOKUP(A106,Table2[],3,FALSE)</f>
        <v>Active</v>
      </c>
      <c r="D106">
        <f>VLOOKUP(A106,Table2[],8,FALSE)</f>
        <v>0</v>
      </c>
      <c r="E106" t="str">
        <f>VLOOKUP(A106,Table2[],4,FALSE)</f>
        <v>VPN</v>
      </c>
      <c r="F106" t="str">
        <f>VLOOKUP(A106,Table2[],5,FALSE)</f>
        <v>LGG Handels AG - Wilerstrasse 9 - 8514 Amlikon-Bissegg - 103688</v>
      </c>
      <c r="G106" t="s">
        <v>4686</v>
      </c>
      <c r="H106" s="3" t="b">
        <v>1</v>
      </c>
      <c r="I106" s="4" t="s">
        <v>4923</v>
      </c>
    </row>
    <row r="107" spans="1:9" x14ac:dyDescent="0.35">
      <c r="A107">
        <v>103264</v>
      </c>
      <c r="B107" s="1">
        <f>HYPERLINK("https://ipam.lantzerath-group.com/dcim/sites/"&amp;VLOOKUP(A107,Table2[],2,FALSE),VLOOKUP(A107,Table2[],2,FALSE))</f>
        <v>2512</v>
      </c>
      <c r="C107" t="str">
        <f>VLOOKUP(A107,Table2[],3,FALSE)</f>
        <v>Active</v>
      </c>
      <c r="D107">
        <f>VLOOKUP(A107,Table2[],8,FALSE)</f>
        <v>0</v>
      </c>
      <c r="E107" t="str">
        <f>VLOOKUP(A107,Table2[],4,FALSE)</f>
        <v>VPN</v>
      </c>
      <c r="F107" t="str">
        <f>VLOOKUP(A107,Table2[],5,FALSE)</f>
        <v>Fischer Road Cargo AG - Grindelstrasse 50 - 8303 Bassersdorf - 103264</v>
      </c>
      <c r="G107" t="s">
        <v>4686</v>
      </c>
      <c r="H107" s="3" t="b">
        <v>1</v>
      </c>
      <c r="I107" s="4" t="s">
        <v>4777</v>
      </c>
    </row>
    <row r="108" spans="1:9" x14ac:dyDescent="0.35">
      <c r="A108">
        <v>101704</v>
      </c>
      <c r="B108" s="1">
        <f>HYPERLINK("https://ipam.lantzerath-group.com/dcim/sites/"&amp;VLOOKUP(A108,Table2[],2,FALSE),VLOOKUP(A108,Table2[],2,FALSE))</f>
        <v>2279</v>
      </c>
      <c r="C108" t="str">
        <f>VLOOKUP(A108,Table2[],3,FALSE)</f>
        <v>Active</v>
      </c>
      <c r="D108">
        <f>VLOOKUP(A108,Table2[],8,FALSE)</f>
        <v>0</v>
      </c>
      <c r="E108" t="str">
        <f>VLOOKUP(A108,Table2[],4,FALSE)</f>
        <v>VPN</v>
      </c>
      <c r="F108" t="str">
        <f>VLOOKUP(A108,Table2[],5,FALSE)</f>
        <v>Garage B. Seeberger AG - Industriestrasse 32 - 6102 Malters - 101704</v>
      </c>
      <c r="G108" t="s">
        <v>4686</v>
      </c>
      <c r="H108" s="3" t="b">
        <v>1</v>
      </c>
      <c r="I108" s="4" t="s">
        <v>4778</v>
      </c>
    </row>
    <row r="109" spans="1:9" x14ac:dyDescent="0.35">
      <c r="A109">
        <v>101209</v>
      </c>
      <c r="B109" s="1">
        <f>HYPERLINK("https://ipam.lantzerath-group.com/dcim/sites/"&amp;VLOOKUP(A109,Table2[],2,FALSE),VLOOKUP(A109,Table2[],2,FALSE))</f>
        <v>2252</v>
      </c>
      <c r="C109" t="str">
        <f>VLOOKUP(A109,Table2[],3,FALSE)</f>
        <v>Active</v>
      </c>
      <c r="D109">
        <f>VLOOKUP(A109,Table2[],8,FALSE)</f>
        <v>0</v>
      </c>
      <c r="E109" t="str">
        <f>VLOOKUP(A109,Table2[],4,FALSE)</f>
        <v>VPN</v>
      </c>
      <c r="F109" t="str">
        <f>VLOOKUP(A109,Table2[],5,FALSE)</f>
        <v>Acla da fans AG - Samnaunerstrasse - 7563 Samnaun - 101209</v>
      </c>
      <c r="G109" t="s">
        <v>4686</v>
      </c>
      <c r="H109" s="3" t="b">
        <v>1</v>
      </c>
      <c r="I109" s="4" t="s">
        <v>4779</v>
      </c>
    </row>
    <row r="110" spans="1:9" x14ac:dyDescent="0.35">
      <c r="A110">
        <v>104239</v>
      </c>
      <c r="B110" s="1">
        <f>HYPERLINK("https://ipam.lantzerath-group.com/dcim/sites/"&amp;VLOOKUP(A110,Table2[],2,FALSE),VLOOKUP(A110,Table2[],2,FALSE))</f>
        <v>2626</v>
      </c>
      <c r="C110" t="str">
        <f>VLOOKUP(A110,Table2[],3,FALSE)</f>
        <v>Active</v>
      </c>
      <c r="D110">
        <f>VLOOKUP(A110,Table2[],8,FALSE)</f>
        <v>0</v>
      </c>
      <c r="E110" t="str">
        <f>VLOOKUP(A110,Table2[],4,FALSE)</f>
        <v>VPN</v>
      </c>
      <c r="F110" t="str">
        <f>VLOOKUP(A110,Table2[],5,FALSE)</f>
        <v>Feuerwehr - Spalenvorstadt 11/Kornhausgasse 18 - 4051 Basel - 104239</v>
      </c>
      <c r="G110" t="s">
        <v>4686</v>
      </c>
      <c r="H110" s="3" t="b">
        <v>1</v>
      </c>
      <c r="I110" s="4" t="s">
        <v>4780</v>
      </c>
    </row>
    <row r="111" spans="1:9" x14ac:dyDescent="0.35">
      <c r="A111">
        <v>103761</v>
      </c>
      <c r="B111" s="1">
        <f>HYPERLINK("https://ipam.lantzerath-group.com/dcim/sites/"&amp;VLOOKUP(A111,Table2[],2,FALSE),VLOOKUP(A111,Table2[],2,FALSE))</f>
        <v>2565</v>
      </c>
      <c r="C111" t="str">
        <f>VLOOKUP(A111,Table2[],3,FALSE)</f>
        <v>Active</v>
      </c>
      <c r="D111">
        <f>VLOOKUP(A111,Table2[],8,FALSE)</f>
        <v>0</v>
      </c>
      <c r="E111" t="str">
        <f>VLOOKUP(A111,Table2[],4,FALSE)</f>
        <v>VPN</v>
      </c>
      <c r="F111" t="str">
        <f>VLOOKUP(A111,Table2[],5,FALSE)</f>
        <v>Scall Tankstelle - Sonneggstrasse 42 / 44 - 8006 Zürich - 103761</v>
      </c>
      <c r="G111" t="s">
        <v>4686</v>
      </c>
      <c r="H111" s="3" t="b">
        <v>1</v>
      </c>
      <c r="I111" s="4" t="s">
        <v>4781</v>
      </c>
    </row>
    <row r="112" spans="1:9" x14ac:dyDescent="0.35">
      <c r="A112">
        <v>103727</v>
      </c>
      <c r="B112" s="1">
        <f>HYPERLINK("https://ipam.lantzerath-group.com/dcim/sites/"&amp;VLOOKUP(A112,Table2[],2,FALSE),VLOOKUP(A112,Table2[],2,FALSE))</f>
        <v>2562</v>
      </c>
      <c r="C112" t="str">
        <f>VLOOKUP(A112,Table2[],3,FALSE)</f>
        <v>Active</v>
      </c>
      <c r="D112">
        <f>VLOOKUP(A112,Table2[],8,FALSE)</f>
        <v>0</v>
      </c>
      <c r="E112" t="str">
        <f>VLOOKUP(A112,Table2[],4,FALSE)</f>
        <v>VPN</v>
      </c>
      <c r="F112" t="str">
        <f>VLOOKUP(A112,Table2[],5,FALSE)</f>
        <v>Garage Keller AG - Scherbstrasse 18 - 9633 Hemberg - 103727</v>
      </c>
      <c r="G112" t="s">
        <v>4686</v>
      </c>
      <c r="H112" s="3" t="b">
        <v>1</v>
      </c>
      <c r="I112" s="4" t="s">
        <v>4782</v>
      </c>
    </row>
    <row r="113" spans="1:9" x14ac:dyDescent="0.35">
      <c r="A113">
        <v>104296</v>
      </c>
      <c r="B113" s="1">
        <f>HYPERLINK("https://ipam.lantzerath-group.com/dcim/sites/"&amp;VLOOKUP(A113,Table2[],2,FALSE),VLOOKUP(A113,Table2[],2,FALSE))</f>
        <v>2640</v>
      </c>
      <c r="C113" t="str">
        <f>VLOOKUP(A113,Table2[],3,FALSE)</f>
        <v>Active</v>
      </c>
      <c r="D113">
        <f>VLOOKUP(A113,Table2[],8,FALSE)</f>
        <v>0</v>
      </c>
      <c r="E113" t="str">
        <f>VLOOKUP(A113,Table2[],4,FALSE)</f>
        <v>VPN</v>
      </c>
      <c r="F113" t="str">
        <f>VLOOKUP(A113,Table2[],5,FALSE)</f>
        <v>Elektrotech Grab Albert - Hauptstrasse 10 - 6418 Rothenthurm - 104296</v>
      </c>
      <c r="G113" t="s">
        <v>4686</v>
      </c>
      <c r="H113" s="3" t="b">
        <v>1</v>
      </c>
      <c r="I113" s="4" t="s">
        <v>4783</v>
      </c>
    </row>
    <row r="114" spans="1:9" x14ac:dyDescent="0.35">
      <c r="A114">
        <v>104300</v>
      </c>
      <c r="B114" s="1">
        <f>HYPERLINK("https://ipam.lantzerath-group.com/dcim/sites/"&amp;VLOOKUP(A114,Table2[],2,FALSE),VLOOKUP(A114,Table2[],2,FALSE))</f>
        <v>2641</v>
      </c>
      <c r="C114" t="str">
        <f>VLOOKUP(A114,Table2[],3,FALSE)</f>
        <v>Active</v>
      </c>
      <c r="D114">
        <f>VLOOKUP(A114,Table2[],8,FALSE)</f>
        <v>0</v>
      </c>
      <c r="E114" t="str">
        <f>VLOOKUP(A114,Table2[],4,FALSE)</f>
        <v>VPN</v>
      </c>
      <c r="F114" t="str">
        <f>VLOOKUP(A114,Table2[],5,FALSE)</f>
        <v>LG RIGI - 104300</v>
      </c>
      <c r="G114" t="s">
        <v>4686</v>
      </c>
      <c r="H114" s="3" t="b">
        <v>1</v>
      </c>
      <c r="I114" s="4" t="s">
        <v>4885</v>
      </c>
    </row>
    <row r="115" spans="1:9" x14ac:dyDescent="0.35">
      <c r="A115">
        <v>104372</v>
      </c>
      <c r="B115" s="1">
        <f>HYPERLINK("https://ipam.lantzerath-group.com/dcim/sites/"&amp;VLOOKUP(A115,Table2[],2,FALSE),VLOOKUP(A115,Table2[],2,FALSE))</f>
        <v>3166</v>
      </c>
      <c r="C115" t="str">
        <f>VLOOKUP(A115,Table2[],3,FALSE)</f>
        <v>Active</v>
      </c>
      <c r="D115">
        <f>VLOOKUP(A115,Table2[],8,FALSE)</f>
        <v>0</v>
      </c>
      <c r="E115" t="str">
        <f>VLOOKUP(A115,Table2[],4,FALSE)</f>
        <v>VPN</v>
      </c>
      <c r="F115" t="str">
        <f>VLOOKUP(A115,Table2[],5,FALSE)</f>
        <v>Garage W. Pianezze - Hauptstrasse 179 - 4466 Ormalingen - 104372</v>
      </c>
      <c r="G115" t="s">
        <v>4686</v>
      </c>
      <c r="H115" s="3" t="b">
        <v>1</v>
      </c>
      <c r="I115" s="4" t="s">
        <v>4784</v>
      </c>
    </row>
    <row r="116" spans="1:9" x14ac:dyDescent="0.35">
      <c r="A116">
        <v>101042</v>
      </c>
      <c r="B116" s="1">
        <f>HYPERLINK("https://ipam.lantzerath-group.com/dcim/sites/"&amp;VLOOKUP(A116,Table2[],2,FALSE),VLOOKUP(A116,Table2[],2,FALSE))</f>
        <v>2233</v>
      </c>
      <c r="C116" t="str">
        <f>VLOOKUP(A116,Table2[],3,FALSE)</f>
        <v>Active</v>
      </c>
      <c r="D116">
        <f>VLOOKUP(A116,Table2[],8,FALSE)</f>
        <v>0</v>
      </c>
      <c r="E116" t="str">
        <f>VLOOKUP(A116,Table2[],4,FALSE)</f>
        <v>VPN</v>
      </c>
      <c r="F116" t="str">
        <f>VLOOKUP(A116,Table2[],5,FALSE)</f>
        <v>KIBAG Dienstleistungen AG - Bächaustrasse 73 - Bäch - 101042</v>
      </c>
      <c r="G116" t="s">
        <v>4686</v>
      </c>
      <c r="H116" s="3" t="b">
        <v>1</v>
      </c>
      <c r="I116" s="4" t="s">
        <v>4785</v>
      </c>
    </row>
    <row r="117" spans="1:9" x14ac:dyDescent="0.35">
      <c r="A117">
        <v>103355</v>
      </c>
      <c r="B117" s="1">
        <f>HYPERLINK("https://ipam.lantzerath-group.com/dcim/sites/"&amp;VLOOKUP(A117,Table2[],2,FALSE),VLOOKUP(A117,Table2[],2,FALSE))</f>
        <v>2520</v>
      </c>
      <c r="C117" t="str">
        <f>VLOOKUP(A117,Table2[],3,FALSE)</f>
        <v>Active</v>
      </c>
      <c r="D117">
        <f>VLOOKUP(A117,Table2[],8,FALSE)</f>
        <v>0</v>
      </c>
      <c r="E117" t="str">
        <f>VLOOKUP(A117,Table2[],4,FALSE)</f>
        <v>VPN</v>
      </c>
      <c r="F117" t="str">
        <f>VLOOKUP(A117,Table2[],5,FALSE)</f>
        <v>Topas Oil GmbH - Cholgrabe 2 - 5306 Tegerfelden - 103355</v>
      </c>
      <c r="G117" t="s">
        <v>4686</v>
      </c>
      <c r="H117" s="3" t="b">
        <v>1</v>
      </c>
      <c r="I117" s="4" t="s">
        <v>4786</v>
      </c>
    </row>
    <row r="118" spans="1:9" x14ac:dyDescent="0.35">
      <c r="A118">
        <v>101927</v>
      </c>
      <c r="B118" s="1">
        <f>HYPERLINK("https://ipam.lantzerath-group.com/dcim/sites/"&amp;VLOOKUP(A118,Table2[],2,FALSE),VLOOKUP(A118,Table2[],2,FALSE))</f>
        <v>2322</v>
      </c>
      <c r="C118" t="str">
        <f>VLOOKUP(A118,Table2[],3,FALSE)</f>
        <v>Active</v>
      </c>
      <c r="D118">
        <f>VLOOKUP(A118,Table2[],8,FALSE)</f>
        <v>0</v>
      </c>
      <c r="E118" t="str">
        <f>VLOOKUP(A118,Table2[],4,FALSE)</f>
        <v>VPN</v>
      </c>
      <c r="F118" t="str">
        <f>VLOOKUP(A118,Table2[],5,FALSE)</f>
        <v>Jaunpassgarage - 101927</v>
      </c>
      <c r="G118" t="s">
        <v>4686</v>
      </c>
      <c r="H118" s="3" t="b">
        <v>1</v>
      </c>
      <c r="I118" s="4" t="s">
        <v>4886</v>
      </c>
    </row>
    <row r="119" spans="1:9" x14ac:dyDescent="0.35">
      <c r="A119">
        <v>101854</v>
      </c>
      <c r="B119" s="1">
        <f>HYPERLINK("https://ipam.lantzerath-group.com/dcim/sites/"&amp;VLOOKUP(A119,Table2[],2,FALSE),VLOOKUP(A119,Table2[],2,FALSE))</f>
        <v>2301</v>
      </c>
      <c r="C119" t="str">
        <f>VLOOKUP(A119,Table2[],3,FALSE)</f>
        <v>Active</v>
      </c>
      <c r="D119">
        <f>VLOOKUP(A119,Table2[],8,FALSE)</f>
        <v>0</v>
      </c>
      <c r="E119" t="str">
        <f>VLOOKUP(A119,Table2[],4,FALSE)</f>
        <v>VPN</v>
      </c>
      <c r="F119" t="str">
        <f>VLOOKUP(A119,Table2[],5,FALSE)</f>
        <v>Garage F. Wernli AG - Aarauerstrasse 59 - 5116 Schinznach Bad - 101854</v>
      </c>
      <c r="G119" t="s">
        <v>4686</v>
      </c>
      <c r="H119" s="3" t="b">
        <v>1</v>
      </c>
      <c r="I119" s="4" t="s">
        <v>4905</v>
      </c>
    </row>
    <row r="120" spans="1:9" x14ac:dyDescent="0.35">
      <c r="A120">
        <v>104240</v>
      </c>
      <c r="B120" s="1">
        <f>HYPERLINK("https://ipam.lantzerath-group.com/dcim/sites/"&amp;VLOOKUP(A120,Table2[],2,FALSE),VLOOKUP(A120,Table2[],2,FALSE))</f>
        <v>2627</v>
      </c>
      <c r="C120" t="str">
        <f>VLOOKUP(A120,Table2[],3,FALSE)</f>
        <v>Active</v>
      </c>
      <c r="D120">
        <f>VLOOKUP(A120,Table2[],8,FALSE)</f>
        <v>0</v>
      </c>
      <c r="E120" t="str">
        <f>VLOOKUP(A120,Table2[],4,FALSE)</f>
        <v>VPN</v>
      </c>
      <c r="F120" t="str">
        <f>VLOOKUP(A120,Table2[],5,FALSE)</f>
        <v>Kantonspolizei Basel-Stadt - 104240</v>
      </c>
      <c r="G120" t="s">
        <v>4686</v>
      </c>
      <c r="H120" s="3" t="b">
        <v>1</v>
      </c>
      <c r="I120" s="4" t="s">
        <v>4887</v>
      </c>
    </row>
    <row r="121" spans="1:9" x14ac:dyDescent="0.35">
      <c r="A121">
        <v>104244</v>
      </c>
      <c r="B121" s="1">
        <f>HYPERLINK("https://ipam.lantzerath-group.com/dcim/sites/"&amp;VLOOKUP(A121,Table2[],2,FALSE),VLOOKUP(A121,Table2[],2,FALSE))</f>
        <v>2628</v>
      </c>
      <c r="C121" t="str">
        <f>VLOOKUP(A121,Table2[],3,FALSE)</f>
        <v>Active</v>
      </c>
      <c r="D121">
        <f>VLOOKUP(A121,Table2[],8,FALSE)</f>
        <v>0</v>
      </c>
      <c r="E121" t="str">
        <f>VLOOKUP(A121,Table2[],4,FALSE)</f>
        <v>VPN</v>
      </c>
      <c r="F121" t="str">
        <f>VLOOKUP(A121,Table2[],5,FALSE)</f>
        <v>Gemeindeverwaltung - Werkhof - 8702 Zollikon - 104244</v>
      </c>
      <c r="G121" t="s">
        <v>4686</v>
      </c>
      <c r="H121" s="3" t="b">
        <v>1</v>
      </c>
      <c r="I121" s="4" t="s">
        <v>4787</v>
      </c>
    </row>
    <row r="122" spans="1:9" x14ac:dyDescent="0.35">
      <c r="A122">
        <v>102165</v>
      </c>
      <c r="B122" s="1">
        <f>HYPERLINK("https://ipam.lantzerath-group.com/dcim/sites/"&amp;VLOOKUP(A122,Table2[],2,FALSE),VLOOKUP(A122,Table2[],2,FALSE))</f>
        <v>2357</v>
      </c>
      <c r="C122" t="str">
        <f>VLOOKUP(A122,Table2[],3,FALSE)</f>
        <v>Active</v>
      </c>
      <c r="D122">
        <f>VLOOKUP(A122,Table2[],8,FALSE)</f>
        <v>0</v>
      </c>
      <c r="E122" t="str">
        <f>VLOOKUP(A122,Table2[],4,FALSE)</f>
        <v>VPN</v>
      </c>
      <c r="F122" t="str">
        <f>VLOOKUP(A122,Table2[],5,FALSE)</f>
        <v>Ebnat AG - Industriestrasse 34 - 9642 Ebnat-Kappel - 102165</v>
      </c>
      <c r="G122" t="s">
        <v>4686</v>
      </c>
      <c r="H122" s="3" t="b">
        <v>1</v>
      </c>
      <c r="I122" s="4" t="s">
        <v>4924</v>
      </c>
    </row>
    <row r="123" spans="1:9" x14ac:dyDescent="0.35">
      <c r="A123">
        <v>101084</v>
      </c>
      <c r="B123" s="1">
        <f>HYPERLINK("https://ipam.lantzerath-group.com/dcim/sites/"&amp;VLOOKUP(A123,Table2[],2,FALSE),VLOOKUP(A123,Table2[],2,FALSE))</f>
        <v>2236</v>
      </c>
      <c r="C123" t="str">
        <f>VLOOKUP(A123,Table2[],3,FALSE)</f>
        <v>Active</v>
      </c>
      <c r="D123">
        <f>VLOOKUP(A123,Table2[],8,FALSE)</f>
        <v>0</v>
      </c>
      <c r="E123" t="str">
        <f>VLOOKUP(A123,Table2[],4,FALSE)</f>
        <v>VPN</v>
      </c>
      <c r="F123" t="str">
        <f>VLOOKUP(A123,Table2[],5,FALSE)</f>
        <v>Lantzerath Tankstellentechnik GmbH - 101084</v>
      </c>
      <c r="G123" t="s">
        <v>4686</v>
      </c>
      <c r="H123" s="3" t="b">
        <v>1</v>
      </c>
      <c r="I123" s="4" t="s">
        <v>4888</v>
      </c>
    </row>
    <row r="124" spans="1:9" x14ac:dyDescent="0.35">
      <c r="A124">
        <v>103170</v>
      </c>
      <c r="B124" s="1">
        <f>HYPERLINK("https://ipam.lantzerath-group.com/dcim/sites/"&amp;VLOOKUP(A124,Table2[],2,FALSE),VLOOKUP(A124,Table2[],2,FALSE))</f>
        <v>2498</v>
      </c>
      <c r="C124" t="str">
        <f>VLOOKUP(A124,Table2[],3,FALSE)</f>
        <v>Active</v>
      </c>
      <c r="D124">
        <f>VLOOKUP(A124,Table2[],8,FALSE)</f>
        <v>0</v>
      </c>
      <c r="E124" t="str">
        <f>VLOOKUP(A124,Table2[],4,FALSE)</f>
        <v>VPN</v>
      </c>
      <c r="F124" t="str">
        <f>VLOOKUP(A124,Table2[],5,FALSE)</f>
        <v>Walter Tschannen AG - Unt. Brühlstrasse 26 - 4800 Zofingen - 103170</v>
      </c>
      <c r="G124" t="s">
        <v>4686</v>
      </c>
      <c r="H124" s="3" t="b">
        <v>1</v>
      </c>
      <c r="I124" s="4" t="s">
        <v>4788</v>
      </c>
    </row>
    <row r="125" spans="1:9" x14ac:dyDescent="0.35">
      <c r="A125">
        <v>103113</v>
      </c>
      <c r="B125" s="1">
        <f>HYPERLINK("https://ipam.lantzerath-group.com/dcim/sites/"&amp;VLOOKUP(A125,Table2[],2,FALSE),VLOOKUP(A125,Table2[],2,FALSE))</f>
        <v>2493</v>
      </c>
      <c r="C125" t="str">
        <f>VLOOKUP(A125,Table2[],3,FALSE)</f>
        <v>Active</v>
      </c>
      <c r="D125">
        <f>VLOOKUP(A125,Table2[],8,FALSE)</f>
        <v>0</v>
      </c>
      <c r="E125" t="str">
        <f>VLOOKUP(A125,Table2[],4,FALSE)</f>
        <v>VPN</v>
      </c>
      <c r="F125" t="str">
        <f>VLOOKUP(A125,Table2[],5,FALSE)</f>
        <v>LGG HANDELS AG - Kreuzlingerstrasse 22 - 8590 Romanshorn - 103113</v>
      </c>
      <c r="G125" t="s">
        <v>4686</v>
      </c>
      <c r="H125" s="3" t="b">
        <v>1</v>
      </c>
      <c r="I125" s="4" t="s">
        <v>4789</v>
      </c>
    </row>
    <row r="126" spans="1:9" x14ac:dyDescent="0.35">
      <c r="A126">
        <v>101223</v>
      </c>
      <c r="B126" s="1">
        <f>HYPERLINK("https://ipam.lantzerath-group.com/dcim/sites/"&amp;VLOOKUP(A126,Table2[],2,FALSE),VLOOKUP(A126,Table2[],2,FALSE))</f>
        <v>2253</v>
      </c>
      <c r="C126" t="str">
        <f>VLOOKUP(A126,Table2[],3,FALSE)</f>
        <v>Active</v>
      </c>
      <c r="D126">
        <f>VLOOKUP(A126,Table2[],8,FALSE)</f>
        <v>0</v>
      </c>
      <c r="E126" t="str">
        <f>VLOOKUP(A126,Table2[],4,FALSE)</f>
        <v>VPN</v>
      </c>
      <c r="F126" t="str">
        <f>VLOOKUP(A126,Table2[],5,FALSE)</f>
        <v>LGG HANDELS AG - Hauptstrasse 35 - 8594 Güttingen - 101223</v>
      </c>
      <c r="G126" t="s">
        <v>4686</v>
      </c>
      <c r="H126" s="3" t="b">
        <v>1</v>
      </c>
      <c r="I126" s="4" t="s">
        <v>4790</v>
      </c>
    </row>
    <row r="127" spans="1:9" x14ac:dyDescent="0.35">
      <c r="A127">
        <v>104256</v>
      </c>
      <c r="B127" s="1">
        <f>HYPERLINK("https://ipam.lantzerath-group.com/dcim/sites/"&amp;VLOOKUP(A127,Table2[],2,FALSE),VLOOKUP(A127,Table2[],2,FALSE))</f>
        <v>2630</v>
      </c>
      <c r="C127" t="str">
        <f>VLOOKUP(A127,Table2[],3,FALSE)</f>
        <v>Active</v>
      </c>
      <c r="D127">
        <f>VLOOKUP(A127,Table2[],8,FALSE)</f>
        <v>0</v>
      </c>
      <c r="E127" t="str">
        <f>VLOOKUP(A127,Table2[],4,FALSE)</f>
        <v>VPN</v>
      </c>
      <c r="F127" t="str">
        <f>VLOOKUP(A127,Table2[],5,FALSE)</f>
        <v>Anton Saxer AG - Götzisbodenweg 16 - 4133 Pratteln - 104256</v>
      </c>
      <c r="G127" t="s">
        <v>4686</v>
      </c>
      <c r="H127" s="3" t="b">
        <v>1</v>
      </c>
      <c r="I127" s="4" t="s">
        <v>4791</v>
      </c>
    </row>
    <row r="128" spans="1:9" x14ac:dyDescent="0.35">
      <c r="A128">
        <v>104264</v>
      </c>
      <c r="B128" s="1">
        <f>HYPERLINK("https://ipam.lantzerath-group.com/dcim/sites/"&amp;VLOOKUP(A128,Table2[],2,FALSE),VLOOKUP(A128,Table2[],2,FALSE))</f>
        <v>2632</v>
      </c>
      <c r="C128" t="str">
        <f>VLOOKUP(A128,Table2[],3,FALSE)</f>
        <v>Active</v>
      </c>
      <c r="D128">
        <f>VLOOKUP(A128,Table2[],8,FALSE)</f>
        <v>0</v>
      </c>
      <c r="E128" t="str">
        <f>VLOOKUP(A128,Table2[],4,FALSE)</f>
        <v>VPN</v>
      </c>
      <c r="F128" t="str">
        <f>VLOOKUP(A128,Table2[],5,FALSE)</f>
        <v>Fahrzeug Center Goms AG - Furkastrasse 35b - 3998 Gluringen - 104264</v>
      </c>
      <c r="G128" t="s">
        <v>4686</v>
      </c>
      <c r="H128" s="3" t="b">
        <v>1</v>
      </c>
      <c r="I128" s="4" t="s">
        <v>4792</v>
      </c>
    </row>
    <row r="129" spans="1:9" x14ac:dyDescent="0.35">
      <c r="A129">
        <v>102751</v>
      </c>
      <c r="B129" s="1">
        <f>HYPERLINK("https://ipam.lantzerath-group.com/dcim/sites/"&amp;VLOOKUP(A129,Table2[],2,FALSE),VLOOKUP(A129,Table2[],2,FALSE))</f>
        <v>2459</v>
      </c>
      <c r="C129" t="str">
        <f>VLOOKUP(A129,Table2[],3,FALSE)</f>
        <v>Active</v>
      </c>
      <c r="D129">
        <f>VLOOKUP(A129,Table2[],8,FALSE)</f>
        <v>0</v>
      </c>
      <c r="E129" t="str">
        <f>VLOOKUP(A129,Table2[],4,FALSE)</f>
        <v>VPN</v>
      </c>
      <c r="F129" t="str">
        <f>VLOOKUP(A129,Table2[],5,FALSE)</f>
        <v>Settelen AG - Türkheimerstrasse 17 - 4009 Basel - 102751</v>
      </c>
      <c r="G129" t="s">
        <v>4686</v>
      </c>
      <c r="H129" s="3" t="b">
        <v>1</v>
      </c>
      <c r="I129" s="4" t="s">
        <v>4793</v>
      </c>
    </row>
    <row r="130" spans="1:9" x14ac:dyDescent="0.35">
      <c r="A130">
        <v>101175</v>
      </c>
      <c r="B130" s="1">
        <f>HYPERLINK("https://ipam.lantzerath-group.com/dcim/sites/"&amp;VLOOKUP(A130,Table2[],2,FALSE),VLOOKUP(A130,Table2[],2,FALSE))</f>
        <v>2244</v>
      </c>
      <c r="C130" t="str">
        <f>VLOOKUP(A130,Table2[],3,FALSE)</f>
        <v>Active</v>
      </c>
      <c r="D130">
        <f>VLOOKUP(A130,Table2[],8,FALSE)</f>
        <v>0</v>
      </c>
      <c r="E130" t="str">
        <f>VLOOKUP(A130,Table2[],4,FALSE)</f>
        <v>VPN</v>
      </c>
      <c r="F130" t="str">
        <f>VLOOKUP(A130,Table2[],5,FALSE)</f>
        <v>Benzindiscount R. Meier AG - Bremgarterstrasse 48 - 5610 Wohlen AG - 101175</v>
      </c>
      <c r="G130" t="s">
        <v>4686</v>
      </c>
      <c r="H130" s="3" t="b">
        <v>1</v>
      </c>
      <c r="I130" s="4" t="s">
        <v>4906</v>
      </c>
    </row>
    <row r="131" spans="1:9" x14ac:dyDescent="0.35">
      <c r="A131">
        <v>103782</v>
      </c>
      <c r="B131" s="1">
        <f>HYPERLINK("https://ipam.lantzerath-group.com/dcim/sites/"&amp;VLOOKUP(A131,Table2[],2,FALSE),VLOOKUP(A131,Table2[],2,FALSE))</f>
        <v>2572</v>
      </c>
      <c r="C131" t="str">
        <f>VLOOKUP(A131,Table2[],3,FALSE)</f>
        <v>Active</v>
      </c>
      <c r="D131">
        <f>VLOOKUP(A131,Table2[],8,FALSE)</f>
        <v>0</v>
      </c>
      <c r="E131" t="str">
        <f>VLOOKUP(A131,Table2[],4,FALSE)</f>
        <v>VPN</v>
      </c>
      <c r="F131" t="str">
        <f>VLOOKUP(A131,Table2[],5,FALSE)</f>
        <v>Garage Carrozzeria Rossi SA - S. Antonio 54A 7745 Li Curt - 103782</v>
      </c>
      <c r="G131" t="s">
        <v>4686</v>
      </c>
      <c r="H131" s="3" t="b">
        <v>1</v>
      </c>
      <c r="I131" s="4" t="s">
        <v>4896</v>
      </c>
    </row>
    <row r="132" spans="1:9" x14ac:dyDescent="0.35">
      <c r="A132">
        <v>104288</v>
      </c>
      <c r="B132" s="1">
        <f>HYPERLINK("https://ipam.lantzerath-group.com/dcim/sites/"&amp;VLOOKUP(A132,Table2[],2,FALSE),VLOOKUP(A132,Table2[],2,FALSE))</f>
        <v>2637</v>
      </c>
      <c r="C132" t="str">
        <f>VLOOKUP(A132,Table2[],3,FALSE)</f>
        <v>Active</v>
      </c>
      <c r="D132">
        <f>VLOOKUP(A132,Table2[],8,FALSE)</f>
        <v>0</v>
      </c>
      <c r="E132" t="str">
        <f>VLOOKUP(A132,Table2[],4,FALSE)</f>
        <v>VPN</v>
      </c>
      <c r="F132" t="str">
        <f>VLOOKUP(A132,Table2[],5,FALSE)</f>
        <v>Huber Transport AG - 104288</v>
      </c>
      <c r="G132" t="s">
        <v>4686</v>
      </c>
      <c r="H132" s="3" t="b">
        <v>1</v>
      </c>
      <c r="I132" s="4" t="s">
        <v>4889</v>
      </c>
    </row>
    <row r="133" spans="1:9" x14ac:dyDescent="0.35">
      <c r="A133">
        <v>104286</v>
      </c>
      <c r="B133" s="1">
        <f>HYPERLINK("https://ipam.lantzerath-group.com/dcim/sites/"&amp;VLOOKUP(A133,Table2[],2,FALSE),VLOOKUP(A133,Table2[],2,FALSE))</f>
        <v>2636</v>
      </c>
      <c r="C133" t="str">
        <f>VLOOKUP(A133,Table2[],3,FALSE)</f>
        <v>Active</v>
      </c>
      <c r="D133">
        <f>VLOOKUP(A133,Table2[],8,FALSE)</f>
        <v>0</v>
      </c>
      <c r="E133" t="str">
        <f>VLOOKUP(A133,Table2[],4,FALSE)</f>
        <v>VPN</v>
      </c>
      <c r="F133" t="str">
        <f>VLOOKUP(A133,Table2[],5,FALSE)</f>
        <v>Robbiani Automobili SA - 104286</v>
      </c>
      <c r="G133" t="s">
        <v>4686</v>
      </c>
      <c r="H133" s="3" t="b">
        <v>1</v>
      </c>
      <c r="I133" s="4" t="s">
        <v>4890</v>
      </c>
    </row>
    <row r="134" spans="1:9" x14ac:dyDescent="0.35">
      <c r="A134">
        <v>104274</v>
      </c>
      <c r="B134" s="1">
        <f>HYPERLINK("https://ipam.lantzerath-group.com/dcim/sites/"&amp;VLOOKUP(A134,Table2[],2,FALSE),VLOOKUP(A134,Table2[],2,FALSE))</f>
        <v>2634</v>
      </c>
      <c r="C134" t="str">
        <f>VLOOKUP(A134,Table2[],3,FALSE)</f>
        <v>Active</v>
      </c>
      <c r="D134">
        <f>VLOOKUP(A134,Table2[],8,FALSE)</f>
        <v>0</v>
      </c>
      <c r="E134" t="str">
        <f>VLOOKUP(A134,Table2[],4,FALSE)</f>
        <v>VPN</v>
      </c>
      <c r="F134" t="str">
        <f>VLOOKUP(A134,Table2[],5,FALSE)</f>
        <v>Hotel Alpina - 104274</v>
      </c>
      <c r="G134" t="s">
        <v>4686</v>
      </c>
      <c r="H134" s="3" t="b">
        <v>1</v>
      </c>
      <c r="I134" s="4" t="s">
        <v>4891</v>
      </c>
    </row>
    <row r="135" spans="1:9" x14ac:dyDescent="0.35">
      <c r="A135">
        <v>101117</v>
      </c>
      <c r="B135" s="1">
        <f>HYPERLINK("https://ipam.lantzerath-group.com/dcim/sites/"&amp;VLOOKUP(A135,Table2[],2,FALSE),VLOOKUP(A135,Table2[],2,FALSE))</f>
        <v>2240</v>
      </c>
      <c r="C135" t="str">
        <f>VLOOKUP(A135,Table2[],3,FALSE)</f>
        <v>Active</v>
      </c>
      <c r="D135">
        <f>VLOOKUP(A135,Table2[],8,FALSE)</f>
        <v>0</v>
      </c>
      <c r="E135" t="str">
        <f>VLOOKUP(A135,Table2[],4,FALSE)</f>
        <v>VPN</v>
      </c>
      <c r="F135" t="str">
        <f>VLOOKUP(A135,Table2[],5,FALSE)</f>
        <v>Mazzetta garascha Tödi SA - 101117</v>
      </c>
      <c r="G135" t="s">
        <v>4686</v>
      </c>
      <c r="H135" s="3" t="b">
        <v>1</v>
      </c>
      <c r="I135" s="4" t="s">
        <v>4892</v>
      </c>
    </row>
    <row r="136" spans="1:9" x14ac:dyDescent="0.35">
      <c r="A136">
        <v>104292</v>
      </c>
      <c r="B136" s="1">
        <f>HYPERLINK("https://ipam.lantzerath-group.com/dcim/sites/"&amp;VLOOKUP(A136,Table2[],2,FALSE),VLOOKUP(A136,Table2[],2,FALSE))</f>
        <v>2638</v>
      </c>
      <c r="C136" t="str">
        <f>VLOOKUP(A136,Table2[],3,FALSE)</f>
        <v>Active</v>
      </c>
      <c r="D136">
        <f>VLOOKUP(A136,Table2[],8,FALSE)</f>
        <v>0</v>
      </c>
      <c r="E136" t="str">
        <f>VLOOKUP(A136,Table2[],4,FALSE)</f>
        <v>VPN</v>
      </c>
      <c r="F136" t="str">
        <f>VLOOKUP(A136,Table2[],5,FALSE)</f>
        <v>Granol AG - Zeughausstrasse 5 - 6210 Sursee - 104292</v>
      </c>
      <c r="G136" t="s">
        <v>4686</v>
      </c>
      <c r="H136" s="3" t="b">
        <v>1</v>
      </c>
      <c r="I136" s="4" t="s">
        <v>4794</v>
      </c>
    </row>
    <row r="137" spans="1:9" x14ac:dyDescent="0.35">
      <c r="A137">
        <v>101989</v>
      </c>
      <c r="B137" s="1">
        <f>HYPERLINK("https://ipam.lantzerath-group.com/dcim/sites/"&amp;VLOOKUP(A137,Table2[],2,FALSE),VLOOKUP(A137,Table2[],2,FALSE))</f>
        <v>2336</v>
      </c>
      <c r="C137" t="str">
        <f>VLOOKUP(A137,Table2[],3,FALSE)</f>
        <v>Active</v>
      </c>
      <c r="D137">
        <f>VLOOKUP(A137,Table2[],8,FALSE)</f>
        <v>0</v>
      </c>
      <c r="E137" t="str">
        <f>VLOOKUP(A137,Table2[],4,FALSE)</f>
        <v>VPN</v>
      </c>
      <c r="F137" t="str">
        <f>VLOOKUP(A137,Table2[],5,FALSE)</f>
        <v>Tankstelle Hundwil - Wies-Dorf 67 - 9064 Hundwil - 101989</v>
      </c>
      <c r="G137" t="s">
        <v>4686</v>
      </c>
      <c r="H137" s="3" t="b">
        <v>1</v>
      </c>
      <c r="I137" s="4" t="s">
        <v>4795</v>
      </c>
    </row>
    <row r="138" spans="1:9" x14ac:dyDescent="0.35">
      <c r="A138">
        <v>104319</v>
      </c>
      <c r="B138" s="1">
        <f>HYPERLINK("https://ipam.lantzerath-group.com/dcim/sites/"&amp;VLOOKUP(A138,Table2[],2,FALSE),VLOOKUP(A138,Table2[],2,FALSE))</f>
        <v>2643</v>
      </c>
      <c r="C138" t="str">
        <f>VLOOKUP(A138,Table2[],3,FALSE)</f>
        <v>Active</v>
      </c>
      <c r="D138">
        <f>VLOOKUP(A138,Table2[],8,FALSE)</f>
        <v>0</v>
      </c>
      <c r="E138" t="str">
        <f>VLOOKUP(A138,Table2[],4,FALSE)</f>
        <v>VPN</v>
      </c>
      <c r="F138" t="str">
        <f>VLOOKUP(A138,Table2[],5,FALSE)</f>
        <v>Landi Leuzingen - 104319</v>
      </c>
      <c r="G138" t="s">
        <v>4686</v>
      </c>
      <c r="H138" s="3" t="b">
        <v>1</v>
      </c>
      <c r="I138" s="4" t="s">
        <v>4893</v>
      </c>
    </row>
    <row r="139" spans="1:9" x14ac:dyDescent="0.35">
      <c r="A139">
        <v>104325</v>
      </c>
      <c r="B139" s="1">
        <f>HYPERLINK("https://ipam.lantzerath-group.com/dcim/sites/"&amp;VLOOKUP(A139,Table2[],2,FALSE),VLOOKUP(A139,Table2[],2,FALSE))</f>
        <v>2646</v>
      </c>
      <c r="C139" t="str">
        <f>VLOOKUP(A139,Table2[],3,FALSE)</f>
        <v>Active</v>
      </c>
      <c r="D139">
        <f>VLOOKUP(A139,Table2[],8,FALSE)</f>
        <v>0</v>
      </c>
      <c r="E139" t="str">
        <f>VLOOKUP(A139,Table2[],4,FALSE)</f>
        <v>VPN</v>
      </c>
      <c r="F139" t="str">
        <f>VLOOKUP(A139,Table2[],5,FALSE)</f>
        <v>Suisse Petroli SA - Via Locarno 50 - 6514 Sementina - 104325</v>
      </c>
      <c r="G139" t="s">
        <v>4686</v>
      </c>
      <c r="H139" s="3" t="b">
        <v>1</v>
      </c>
      <c r="I139" s="4" t="s">
        <v>4796</v>
      </c>
    </row>
    <row r="140" spans="1:9" x14ac:dyDescent="0.35">
      <c r="A140">
        <v>104338</v>
      </c>
      <c r="B140" s="1">
        <f>HYPERLINK("https://ipam.lantzerath-group.com/dcim/sites/"&amp;VLOOKUP(A140,Table2[],2,FALSE),VLOOKUP(A140,Table2[],2,FALSE))</f>
        <v>2658</v>
      </c>
      <c r="C140" t="str">
        <f>VLOOKUP(A140,Table2[],3,FALSE)</f>
        <v>Active</v>
      </c>
      <c r="D140">
        <f>VLOOKUP(A140,Table2[],8,FALSE)</f>
        <v>0</v>
      </c>
      <c r="E140" t="str">
        <f>VLOOKUP(A140,Table2[],4,FALSE)</f>
        <v>VPN</v>
      </c>
      <c r="F140" t="str">
        <f>VLOOKUP(A140,Table2[],5,FALSE)</f>
        <v>Suisse Petroli SA -  Via Cantinetta 16 - 6853 Ligornetto - 104338</v>
      </c>
      <c r="G140" t="s">
        <v>4686</v>
      </c>
      <c r="H140" s="3" t="b">
        <v>1</v>
      </c>
      <c r="I140" s="4" t="s">
        <v>4797</v>
      </c>
    </row>
    <row r="141" spans="1:9" x14ac:dyDescent="0.35">
      <c r="A141">
        <v>104339</v>
      </c>
      <c r="B141" s="1">
        <f>HYPERLINK("https://ipam.lantzerath-group.com/dcim/sites/"&amp;VLOOKUP(A141,Table2[],2,FALSE),VLOOKUP(A141,Table2[],2,FALSE))</f>
        <v>2657</v>
      </c>
      <c r="C141" t="str">
        <f>VLOOKUP(A141,Table2[],3,FALSE)</f>
        <v>Active</v>
      </c>
      <c r="D141">
        <f>VLOOKUP(A141,Table2[],8,FALSE)</f>
        <v>0</v>
      </c>
      <c r="E141" t="str">
        <f>VLOOKUP(A141,Table2[],4,FALSE)</f>
        <v>VPN</v>
      </c>
      <c r="F141" t="str">
        <f>VLOOKUP(A141,Table2[],5,FALSE)</f>
        <v>Suisse Petroli SA -  Via al Confine 18 - 6827 Brusino Arsizio - 104339</v>
      </c>
      <c r="G141" t="s">
        <v>4686</v>
      </c>
      <c r="H141" s="3" t="b">
        <v>1</v>
      </c>
      <c r="I141" s="4" t="s">
        <v>4907</v>
      </c>
    </row>
    <row r="142" spans="1:9" x14ac:dyDescent="0.35">
      <c r="A142">
        <v>101649</v>
      </c>
      <c r="B142" s="1">
        <f>HYPERLINK("https://ipam.lantzerath-group.com/dcim/sites/"&amp;VLOOKUP(A142,Table2[],2,FALSE),VLOOKUP(A142,Table2[],2,FALSE))</f>
        <v>625</v>
      </c>
      <c r="C142" t="str">
        <f>VLOOKUP(A142,Table2[],3,FALSE)</f>
        <v>Active</v>
      </c>
      <c r="D142">
        <f>VLOOKUP(A142,Table2[],8,FALSE)</f>
        <v>0</v>
      </c>
      <c r="E142" t="str">
        <f>VLOOKUP(A142,Table2[],4,FALSE)</f>
        <v>VPN</v>
      </c>
      <c r="F142" t="str">
        <f>VLOOKUP(A142,Table2[],5,FALSE)</f>
        <v>Auto Gasparini AG - Veia Granda - 7440 Andeer - 101649</v>
      </c>
      <c r="G142" t="s">
        <v>4686</v>
      </c>
      <c r="H142" s="3" t="b">
        <v>1</v>
      </c>
      <c r="I142" s="4" t="s">
        <v>4798</v>
      </c>
    </row>
    <row r="143" spans="1:9" x14ac:dyDescent="0.35">
      <c r="A143">
        <v>104348</v>
      </c>
      <c r="B143" s="1">
        <f>HYPERLINK("https://ipam.lantzerath-group.com/dcim/sites/"&amp;VLOOKUP(A143,Table2[],2,FALSE),VLOOKUP(A143,Table2[],2,FALSE))</f>
        <v>2685</v>
      </c>
      <c r="C143" t="str">
        <f>VLOOKUP(A143,Table2[],3,FALSE)</f>
        <v>Active</v>
      </c>
      <c r="D143">
        <f>VLOOKUP(A143,Table2[],8,FALSE)</f>
        <v>0</v>
      </c>
      <c r="E143" t="str">
        <f>VLOOKUP(A143,Table2[],4,FALSE)</f>
        <v>VPN</v>
      </c>
      <c r="F143" t="str">
        <f>VLOOKUP(A143,Table2[],5,FALSE)</f>
        <v>Suisse Petroli SA -  Via Cantonale 46 - 6978 Gandria - 104348</v>
      </c>
      <c r="G143" t="s">
        <v>4686</v>
      </c>
      <c r="H143" s="3" t="b">
        <v>1</v>
      </c>
      <c r="I143" s="4" t="s">
        <v>4799</v>
      </c>
    </row>
    <row r="144" spans="1:9" x14ac:dyDescent="0.35">
      <c r="A144">
        <v>103784</v>
      </c>
      <c r="B144" s="1">
        <f>HYPERLINK("https://ipam.lantzerath-group.com/dcim/sites/"&amp;VLOOKUP(A144,Table2[],2,FALSE),VLOOKUP(A144,Table2[],2,FALSE))</f>
        <v>2574</v>
      </c>
      <c r="C144" t="str">
        <f>VLOOKUP(A144,Table2[],3,FALSE)</f>
        <v>Active</v>
      </c>
      <c r="D144">
        <f>VLOOKUP(A144,Table2[],8,FALSE)</f>
        <v>0</v>
      </c>
      <c r="E144" t="str">
        <f>VLOOKUP(A144,Table2[],4,FALSE)</f>
        <v>VPN</v>
      </c>
      <c r="F144" t="str">
        <f>VLOOKUP(A144,Table2[],5,FALSE)</f>
        <v>LGG Tankstelle - Hauptstrasse 1 - 8506 Lanzenneunforn - 103784</v>
      </c>
      <c r="G144" t="s">
        <v>4686</v>
      </c>
      <c r="H144" s="3" t="b">
        <v>1</v>
      </c>
      <c r="I144" s="4" t="s">
        <v>4800</v>
      </c>
    </row>
    <row r="145" spans="1:9" x14ac:dyDescent="0.35">
      <c r="A145">
        <v>104350</v>
      </c>
      <c r="B145" s="1">
        <f>HYPERLINK("https://ipam.lantzerath-group.com/dcim/sites/"&amp;VLOOKUP(A145,Table2[],2,FALSE),VLOOKUP(A145,Table2[],2,FALSE))</f>
        <v>3081</v>
      </c>
      <c r="C145" t="str">
        <f>VLOOKUP(A145,Table2[],3,FALSE)</f>
        <v>Active</v>
      </c>
      <c r="D145">
        <f>VLOOKUP(A145,Table2[],8,FALSE)</f>
        <v>0</v>
      </c>
      <c r="E145" t="str">
        <f>VLOOKUP(A145,Table2[],4,FALSE)</f>
        <v>VPN</v>
      </c>
      <c r="F145" t="str">
        <f>VLOOKUP(A145,Table2[],5,FALSE)</f>
        <v>Suisse Petroli SA -  Via Confine 31 - 6830 Brusino Arsizio - 104350</v>
      </c>
      <c r="G145" t="s">
        <v>4686</v>
      </c>
      <c r="H145" s="3" t="b">
        <v>1</v>
      </c>
      <c r="I145" s="4" t="s">
        <v>4908</v>
      </c>
    </row>
    <row r="146" spans="1:9" x14ac:dyDescent="0.35">
      <c r="A146">
        <v>102968</v>
      </c>
      <c r="B146" s="1">
        <f>HYPERLINK("https://ipam.lantzerath-group.com/dcim/sites/"&amp;VLOOKUP(A146,Table2[],2,FALSE),VLOOKUP(A146,Table2[],2,FALSE))</f>
        <v>2476</v>
      </c>
      <c r="C146" t="str">
        <f>VLOOKUP(A146,Table2[],3,FALSE)</f>
        <v>Active</v>
      </c>
      <c r="D146">
        <f>VLOOKUP(A146,Table2[],8,FALSE)</f>
        <v>0</v>
      </c>
      <c r="E146" t="str">
        <f>VLOOKUP(A146,Table2[],4,FALSE)</f>
        <v>VPN</v>
      </c>
      <c r="F146" t="str">
        <f>VLOOKUP(A146,Table2[],5,FALSE)</f>
        <v>SRS Swiss Recycling Services AG - Stauwehrstrasse 40 - 5012 Schönenwerd - 102968</v>
      </c>
      <c r="G146" t="s">
        <v>4686</v>
      </c>
      <c r="H146" s="3" t="b">
        <v>1</v>
      </c>
      <c r="I146" s="4" t="s">
        <v>4801</v>
      </c>
    </row>
    <row r="147" spans="1:9" x14ac:dyDescent="0.35">
      <c r="A147">
        <v>102486</v>
      </c>
      <c r="B147" s="1">
        <f>HYPERLINK("https://ipam.lantzerath-group.com/dcim/sites/"&amp;VLOOKUP(A147,Table2[],2,FALSE),VLOOKUP(A147,Table2[],2,FALSE))</f>
        <v>2416</v>
      </c>
      <c r="C147" t="str">
        <f>VLOOKUP(A147,Table2[],3,FALSE)</f>
        <v>Active</v>
      </c>
      <c r="D147">
        <f>VLOOKUP(A147,Table2[],8,FALSE)</f>
        <v>0</v>
      </c>
      <c r="E147" t="str">
        <f>VLOOKUP(A147,Table2[],4,FALSE)</f>
        <v>VPN</v>
      </c>
      <c r="F147" t="str">
        <f>VLOOKUP(A147,Table2[],5,FALSE)</f>
        <v>Meinrad Helbling AG - Bootswerft - 8716 Schmerikon - 102486</v>
      </c>
      <c r="G147" t="s">
        <v>4686</v>
      </c>
      <c r="H147" s="3" t="b">
        <v>1</v>
      </c>
      <c r="I147" s="4" t="s">
        <v>4802</v>
      </c>
    </row>
    <row r="148" spans="1:9" x14ac:dyDescent="0.35">
      <c r="A148">
        <v>104354</v>
      </c>
      <c r="B148" s="1">
        <f>HYPERLINK("https://ipam.lantzerath-group.com/dcim/sites/"&amp;VLOOKUP(A148,Table2[],2,FALSE),VLOOKUP(A148,Table2[],2,FALSE))</f>
        <v>3157</v>
      </c>
      <c r="C148" t="str">
        <f>VLOOKUP(A148,Table2[],3,FALSE)</f>
        <v>Active</v>
      </c>
      <c r="D148">
        <f>VLOOKUP(A148,Table2[],8,FALSE)</f>
        <v>0</v>
      </c>
      <c r="E148" t="str">
        <f>VLOOKUP(A148,Table2[],4,FALSE)</f>
        <v>VPN</v>
      </c>
      <c r="F148" t="str">
        <f>VLOOKUP(A148,Table2[],5,FALSE)</f>
        <v>Campus AG - Chrischonarain 200 - 4126 Bettingen - 104354</v>
      </c>
      <c r="G148" t="s">
        <v>4686</v>
      </c>
      <c r="H148" s="3" t="b">
        <v>1</v>
      </c>
      <c r="I148" s="4" t="s">
        <v>4803</v>
      </c>
    </row>
    <row r="149" spans="1:9" x14ac:dyDescent="0.35">
      <c r="A149">
        <v>104329</v>
      </c>
      <c r="B149" s="1">
        <f>HYPERLINK("https://ipam.lantzerath-group.com/dcim/sites/"&amp;VLOOKUP(A149,Table2[],2,FALSE),VLOOKUP(A149,Table2[],2,FALSE))</f>
        <v>2649</v>
      </c>
      <c r="C149" t="str">
        <f>VLOOKUP(A149,Table2[],3,FALSE)</f>
        <v>Active</v>
      </c>
      <c r="D149">
        <f>VLOOKUP(A149,Table2[],8,FALSE)</f>
        <v>0</v>
      </c>
      <c r="E149" t="str">
        <f>VLOOKUP(A149,Table2[],4,FALSE)</f>
        <v>VPN</v>
      </c>
      <c r="F149" t="str">
        <f>VLOOKUP(A149,Table2[],5,FALSE)</f>
        <v>Benzindiscount Moser - Wohlenstrasse 8 - 5605 Dottikon - 104329</v>
      </c>
      <c r="G149" t="s">
        <v>4686</v>
      </c>
      <c r="H149" s="3" t="b">
        <v>1</v>
      </c>
      <c r="I149" s="4" t="s">
        <v>4804</v>
      </c>
    </row>
    <row r="150" spans="1:9" x14ac:dyDescent="0.35">
      <c r="A150">
        <v>101936</v>
      </c>
      <c r="B150" s="1">
        <f>HYPERLINK("https://ipam.lantzerath-group.com/dcim/sites/"&amp;VLOOKUP(A150,Table2[],2,FALSE),VLOOKUP(A150,Table2[],2,FALSE))</f>
        <v>2326</v>
      </c>
      <c r="C150" t="str">
        <f>VLOOKUP(A150,Table2[],3,FALSE)</f>
        <v>Active</v>
      </c>
      <c r="D150">
        <f>VLOOKUP(A150,Table2[],8,FALSE)</f>
        <v>0</v>
      </c>
      <c r="E150" t="str">
        <f>VLOOKUP(A150,Table2[],4,FALSE)</f>
        <v>VPN</v>
      </c>
      <c r="F150" t="str">
        <f>VLOOKUP(A150,Table2[],5,FALSE)</f>
        <v>Hessag AG - Turnierstrasse 102 - 3097 Liebefeld/Köniz - 101936</v>
      </c>
      <c r="G150" t="s">
        <v>4686</v>
      </c>
      <c r="H150" s="3" t="b">
        <v>1</v>
      </c>
      <c r="I150" s="4" t="s">
        <v>4932</v>
      </c>
    </row>
    <row r="151" spans="1:9" x14ac:dyDescent="0.35">
      <c r="A151">
        <v>104376</v>
      </c>
      <c r="B151" s="1">
        <f>HYPERLINK("https://ipam.lantzerath-group.com/dcim/sites/"&amp;VLOOKUP(A151,Table2[],2,FALSE),VLOOKUP(A151,Table2[],2,FALSE))</f>
        <v>3174</v>
      </c>
      <c r="C151" t="str">
        <f>VLOOKUP(A151,Table2[],3,FALSE)</f>
        <v>Active</v>
      </c>
      <c r="D151">
        <f>VLOOKUP(A151,Table2[],8,FALSE)</f>
        <v>0</v>
      </c>
      <c r="E151" t="str">
        <f>VLOOKUP(A151,Table2[],4,FALSE)</f>
        <v>VPN</v>
      </c>
      <c r="F151" t="str">
        <f>VLOOKUP(A151,Table2[],5,FALSE)</f>
        <v>Heinz Ming - Davous Muntatsch 17 - 7514 Sils/Segl Maria - 104376</v>
      </c>
      <c r="G151" t="s">
        <v>4686</v>
      </c>
      <c r="H151" s="3" t="b">
        <v>1</v>
      </c>
      <c r="I151" s="4" t="s">
        <v>4933</v>
      </c>
    </row>
    <row r="152" spans="1:9" x14ac:dyDescent="0.35">
      <c r="A152">
        <v>103033</v>
      </c>
      <c r="B152" s="1">
        <f>HYPERLINK("https://ipam.lantzerath-group.com/dcim/sites/"&amp;VLOOKUP(A152,Table2[],2,FALSE),VLOOKUP(A152,Table2[],2,FALSE))</f>
        <v>3211</v>
      </c>
      <c r="C152" t="str">
        <f>VLOOKUP(A152,Table2[],3,FALSE)</f>
        <v>Active</v>
      </c>
      <c r="D152">
        <f>VLOOKUP(A152,Table2[],8,FALSE)</f>
        <v>0</v>
      </c>
      <c r="E152" t="str">
        <f>VLOOKUP(A152,Table2[],4,FALSE)</f>
        <v>VPN</v>
      </c>
      <c r="F152" t="str">
        <f>VLOOKUP(A152,Table2[],5,FALSE)</f>
        <v>Service de la Voirie -  Rue de Billodes 52 - 2400 Le Locle - 103033</v>
      </c>
      <c r="G152" t="s">
        <v>4686</v>
      </c>
      <c r="H152" s="3" t="b">
        <v>1</v>
      </c>
      <c r="I152" s="4" t="s">
        <v>4909</v>
      </c>
    </row>
    <row r="153" spans="1:9" x14ac:dyDescent="0.35">
      <c r="A153">
        <v>104380</v>
      </c>
      <c r="B153" s="1">
        <f>HYPERLINK("https://ipam.lantzerath-group.com/dcim/sites/"&amp;VLOOKUP(A153,Table2[],2,FALSE),VLOOKUP(A153,Table2[],2,FALSE))</f>
        <v>3292</v>
      </c>
      <c r="C153" t="str">
        <f>VLOOKUP(A153,Table2[],3,FALSE)</f>
        <v>Active</v>
      </c>
      <c r="D153">
        <f>VLOOKUP(A153,Table2[],8,FALSE)</f>
        <v>0</v>
      </c>
      <c r="E153" t="str">
        <f>VLOOKUP(A153,Table2[],4,FALSE)</f>
        <v>VPN</v>
      </c>
      <c r="F153" t="str">
        <f>VLOOKUP(A153,Table2[],5,FALSE)</f>
        <v>Flugplatz A  - Birrfeld- 5242 Birr-Lupfig - 104380</v>
      </c>
      <c r="G153" t="s">
        <v>4686</v>
      </c>
      <c r="H153" s="3" t="b">
        <v>1</v>
      </c>
      <c r="I153" s="4" t="s">
        <v>4925</v>
      </c>
    </row>
    <row r="154" spans="1:9" x14ac:dyDescent="0.35">
      <c r="A154">
        <v>104381</v>
      </c>
      <c r="B154" s="1">
        <f>HYPERLINK("https://ipam.lantzerath-group.com/dcim/sites/"&amp;VLOOKUP(A154,Table2[],2,FALSE),VLOOKUP(A154,Table2[],2,FALSE))</f>
        <v>3293</v>
      </c>
      <c r="C154" t="str">
        <f>VLOOKUP(A154,Table2[],3,FALSE)</f>
        <v>Active</v>
      </c>
      <c r="D154">
        <f>VLOOKUP(A154,Table2[],8,FALSE)</f>
        <v>0</v>
      </c>
      <c r="E154" t="str">
        <f>VLOOKUP(A154,Table2[],4,FALSE)</f>
        <v>VPN</v>
      </c>
      <c r="F154" t="str">
        <f>VLOOKUP(A154,Table2[],5,FALSE)</f>
        <v>Flugplatz B  - Birrfeld- 5242 Birr-Lupfig - 104381</v>
      </c>
      <c r="G154" t="s">
        <v>4686</v>
      </c>
      <c r="H154" s="3" t="b">
        <v>1</v>
      </c>
      <c r="I154" s="4" t="s">
        <v>4926</v>
      </c>
    </row>
    <row r="155" spans="1:9" x14ac:dyDescent="0.35">
      <c r="A155">
        <v>104328</v>
      </c>
      <c r="B155" s="1">
        <f>HYPERLINK("https://ipam.lantzerath-group.com/dcim/sites/"&amp;VLOOKUP(A155,Table2[],2,FALSE),VLOOKUP(A155,Table2[],2,FALSE))</f>
        <v>3294</v>
      </c>
      <c r="C155" t="str">
        <f>VLOOKUP(A155,Table2[],3,FALSE)</f>
        <v>Active</v>
      </c>
      <c r="D155">
        <f>VLOOKUP(A155,Table2[],8,FALSE)</f>
        <v>0</v>
      </c>
      <c r="E155" t="str">
        <f>VLOOKUP(A155,Table2[],4,FALSE)</f>
        <v>VPN</v>
      </c>
      <c r="F155" t="str">
        <f>VLOOKUP(A155,Table2[],5,FALSE)</f>
        <v>LGG Tankstelle - Amriswilerstrasse 52 - 9314 Steinebrunn - 104328</v>
      </c>
      <c r="G155" t="s">
        <v>4686</v>
      </c>
      <c r="H155" s="3" t="b">
        <v>1</v>
      </c>
      <c r="I155" s="4" t="s">
        <v>4805</v>
      </c>
    </row>
    <row r="156" spans="1:9" x14ac:dyDescent="0.35">
      <c r="A156">
        <v>101636</v>
      </c>
      <c r="B156" s="1">
        <f>HYPERLINK("https://ipam.lantzerath-group.com/dcim/sites/"&amp;VLOOKUP(A156,Table2[],2,FALSE),VLOOKUP(A156,Table2[],2,FALSE))</f>
        <v>2272</v>
      </c>
      <c r="C156" t="str">
        <f>VLOOKUP(A156,Table2[],3,FALSE)</f>
        <v>Active</v>
      </c>
      <c r="D156">
        <f>VLOOKUP(A156,Table2[],8,FALSE)</f>
        <v>0</v>
      </c>
      <c r="E156" t="str">
        <f>VLOOKUP(A156,Table2[],4,FALSE)</f>
        <v>VPN</v>
      </c>
      <c r="F156" t="str">
        <f>VLOOKUP(A156,Table2[],5,FALSE)</f>
        <v>Gebr. Faes AG - Grosssteinengasse 4 - 5727 Oberkulm - 101636</v>
      </c>
      <c r="G156" t="s">
        <v>4686</v>
      </c>
      <c r="H156" s="3" t="b">
        <v>1</v>
      </c>
      <c r="I156" s="4" t="s">
        <v>4806</v>
      </c>
    </row>
    <row r="157" spans="1:9" x14ac:dyDescent="0.35">
      <c r="A157">
        <v>104384</v>
      </c>
      <c r="B157" s="1">
        <f>HYPERLINK("https://ipam.lantzerath-group.com/dcim/sites/"&amp;VLOOKUP(A157,Table2[],2,FALSE),VLOOKUP(A157,Table2[],2,FALSE))</f>
        <v>3370</v>
      </c>
      <c r="C157" t="str">
        <f>VLOOKUP(A157,Table2[],3,FALSE)</f>
        <v>Active</v>
      </c>
      <c r="D157">
        <f>VLOOKUP(A157,Table2[],8,FALSE)</f>
        <v>0</v>
      </c>
      <c r="E157" t="str">
        <f>VLOOKUP(A157,Table2[],4,FALSE)</f>
        <v>VPN</v>
      </c>
      <c r="F157" t="str">
        <f>VLOOKUP(A157,Table2[],5,FALSE)</f>
        <v>Leutenegger Tankstelle - Steinerstrasse 32 - 8253 Diessenhofen - 104384</v>
      </c>
      <c r="G157" t="s">
        <v>4686</v>
      </c>
      <c r="H157" s="3" t="b">
        <v>1</v>
      </c>
      <c r="I157" s="4" t="s">
        <v>4807</v>
      </c>
    </row>
    <row r="158" spans="1:9" x14ac:dyDescent="0.35">
      <c r="A158">
        <v>102797</v>
      </c>
      <c r="B158" s="2">
        <f>HYPERLINK("https://ipam.lantzerath-group.com/dcim/sites/"&amp;VLOOKUP(A158,Table2[],2,FALSE),VLOOKUP(A158,Table2[],2,FALSE))</f>
        <v>2470</v>
      </c>
      <c r="C158" t="str">
        <f>VLOOKUP(A158,Table2[],3,FALSE)</f>
        <v>Active</v>
      </c>
      <c r="D158">
        <f>VLOOKUP(A158,Table2[],8,FALSE)</f>
        <v>0</v>
      </c>
      <c r="E158" t="str">
        <f>VLOOKUP(A158,Table2[],4,FALSE)</f>
        <v>VPN</v>
      </c>
      <c r="F158" t="str">
        <f>VLOOKUP(A158,Table2[],5,FALSE)</f>
        <v>Sebastian Müller AG - Bohler 5 - 6221 Rickenbach LU - 102797</v>
      </c>
      <c r="G158" t="s">
        <v>4686</v>
      </c>
      <c r="H158" s="3" t="b">
        <v>1</v>
      </c>
      <c r="I158" s="4" t="s">
        <v>4910</v>
      </c>
    </row>
    <row r="159" spans="1:9" x14ac:dyDescent="0.35">
      <c r="A159">
        <v>101243</v>
      </c>
      <c r="B159" s="2">
        <f>HYPERLINK("https://ipam.lantzerath-group.com/dcim/sites/"&amp;VLOOKUP(A159,Table2[],2,FALSE),VLOOKUP(A159,Table2[],2,FALSE))</f>
        <v>2255</v>
      </c>
      <c r="C159" t="str">
        <f>VLOOKUP(A159,Table2[],3,FALSE)</f>
        <v>Active</v>
      </c>
      <c r="D159">
        <f>VLOOKUP(A159,Table2[],8,FALSE)</f>
        <v>0</v>
      </c>
      <c r="E159" t="str">
        <f>VLOOKUP(A159,Table2[],4,FALSE)</f>
        <v>VPN</v>
      </c>
      <c r="F159" t="str">
        <f>VLOOKUP(A159,Table2[],5,FALSE)</f>
        <v>Meyer Rigi-Garage GmbH - Oberdorfstrasse 27 - 6403 Küssnacht - 101243</v>
      </c>
      <c r="G159" t="s">
        <v>4686</v>
      </c>
      <c r="H159" s="3" t="b">
        <v>1</v>
      </c>
      <c r="I159" s="4" t="s">
        <v>4808</v>
      </c>
    </row>
    <row r="160" spans="1:9" x14ac:dyDescent="0.35">
      <c r="A160">
        <v>104104</v>
      </c>
      <c r="B160" s="2">
        <f>HYPERLINK("https://ipam.lantzerath-group.com/dcim/sites/"&amp;VLOOKUP(A160,Table2[],2,FALSE),VLOOKUP(A160,Table2[],2,FALSE))</f>
        <v>2611</v>
      </c>
      <c r="C160" t="str">
        <f>VLOOKUP(A160,Table2[],3,FALSE)</f>
        <v>Active</v>
      </c>
      <c r="D160">
        <f>VLOOKUP(A160,Table2[],8,FALSE)</f>
        <v>0</v>
      </c>
      <c r="E160" t="str">
        <f>VLOOKUP(A160,Table2[],4,FALSE)</f>
        <v>VPN</v>
      </c>
      <c r="F160" t="str">
        <f>VLOOKUP(A160,Table2[],5,FALSE)</f>
        <v>Von Arx SA - Rue des Chansons 37 - 2034 Peseux - 104104</v>
      </c>
      <c r="G160" t="s">
        <v>4686</v>
      </c>
      <c r="H160" s="3" t="b">
        <v>1</v>
      </c>
      <c r="I160" s="4" t="s">
        <v>4809</v>
      </c>
    </row>
    <row r="161" spans="1:9" x14ac:dyDescent="0.35">
      <c r="A161">
        <v>103313</v>
      </c>
      <c r="B161" s="2">
        <f>HYPERLINK("https://ipam.lantzerath-group.com/dcim/sites/"&amp;VLOOKUP(A161,Table2[],2,FALSE),VLOOKUP(A161,Table2[],2,FALSE))</f>
        <v>2517</v>
      </c>
      <c r="C161" t="str">
        <f>VLOOKUP(A161,Table2[],3,FALSE)</f>
        <v>Active</v>
      </c>
      <c r="D161">
        <f>VLOOKUP(A161,Table2[],8,FALSE)</f>
        <v>0</v>
      </c>
      <c r="E161" t="str">
        <f>VLOOKUP(A161,Table2[],4,FALSE)</f>
        <v>VPN</v>
      </c>
      <c r="F161" t="str">
        <f>VLOOKUP(A161,Table2[],5,FALSE)</f>
        <v>Garage Faes AG - Kirchenfeldstrasse 6 - 5727 Oberkulm - 103313</v>
      </c>
      <c r="G161" t="s">
        <v>4686</v>
      </c>
      <c r="H161" s="3" t="b">
        <v>1</v>
      </c>
      <c r="I161" s="4" t="s">
        <v>4810</v>
      </c>
    </row>
    <row r="162" spans="1:9" hidden="1" x14ac:dyDescent="0.35">
      <c r="A162">
        <v>666666</v>
      </c>
      <c r="B162" s="2">
        <f>HYPERLINK("https://ipam.lantzerath-group.com/dcim/sites/"&amp;VLOOKUP(A162,Table2[],2,FALSE),VLOOKUP(A162,Table2[],2,FALSE))</f>
        <v>3464</v>
      </c>
      <c r="C162" t="str">
        <f>VLOOKUP(A162,Table2[],3,FALSE)</f>
        <v>Active</v>
      </c>
      <c r="D162" t="str">
        <f>VLOOKUP(A162,Table2[],8,FALSE)</f>
        <v>Full</v>
      </c>
      <c r="E162" t="str">
        <f>VLOOKUP(A162,Table2[],4,FALSE)</f>
        <v>VPN</v>
      </c>
      <c r="F162" t="str">
        <f>VLOOKUP(A162,Table2[],5,FALSE)</f>
        <v>Rothenburg Testanlage - JF - 666666</v>
      </c>
      <c r="H162" s="3"/>
      <c r="I162" s="3"/>
    </row>
    <row r="163" spans="1:9" x14ac:dyDescent="0.35">
      <c r="A163">
        <v>104397</v>
      </c>
      <c r="B163" s="2">
        <f>HYPERLINK("https://ipam.lantzerath-group.com/dcim/sites/"&amp;VLOOKUP(A163,Table2[],2,FALSE),VLOOKUP(A163,Table2[],2,FALSE))</f>
        <v>3453</v>
      </c>
      <c r="C163" t="str">
        <f>VLOOKUP(A163,Table2[],3,FALSE)</f>
        <v>Active</v>
      </c>
      <c r="D163">
        <f>VLOOKUP(A163,Table2[],8,FALSE)</f>
        <v>0</v>
      </c>
      <c r="E163" t="str">
        <f>VLOOKUP(A163,Table2[],4,FALSE)</f>
        <v>VPN</v>
      </c>
      <c r="F163" t="str">
        <f>VLOOKUP(A163,Table2[],5,FALSE)</f>
        <v>Roth Kühltransporte GmbH - Austrasse 9 - 9650 Nesslau - 104397</v>
      </c>
      <c r="G163" t="s">
        <v>4686</v>
      </c>
      <c r="H163" s="3" t="b">
        <v>1</v>
      </c>
      <c r="I163" s="4" t="s">
        <v>4811</v>
      </c>
    </row>
    <row r="164" spans="1:9" x14ac:dyDescent="0.35">
      <c r="A164">
        <v>101803</v>
      </c>
      <c r="B164" s="2">
        <f>HYPERLINK("https://ipam.lantzerath-group.com/dcim/sites/"&amp;VLOOKUP(A164,Table2[],2,FALSE),VLOOKUP(A164,Table2[],2,FALSE))</f>
        <v>2290</v>
      </c>
      <c r="C164" t="str">
        <f>VLOOKUP(A164,Table2[],3,FALSE)</f>
        <v>Active</v>
      </c>
      <c r="D164">
        <f>VLOOKUP(A164,Table2[],8,FALSE)</f>
        <v>0</v>
      </c>
      <c r="E164" t="str">
        <f>VLOOKUP(A164,Table2[],4,FALSE)</f>
        <v>VPN</v>
      </c>
      <c r="F164" t="str">
        <f>VLOOKUP(A164,Table2[],5,FALSE)</f>
        <v>Garage Abegglen - Hauptstrasse 243 - 3855 Brienz BE - 101803</v>
      </c>
      <c r="G164" t="s">
        <v>4686</v>
      </c>
      <c r="H164" s="3" t="b">
        <v>1</v>
      </c>
      <c r="I164" s="4" t="s">
        <v>4911</v>
      </c>
    </row>
    <row r="165" spans="1:9" x14ac:dyDescent="0.35">
      <c r="A165">
        <v>101620</v>
      </c>
      <c r="B165" s="2">
        <f>HYPERLINK("https://ipam.lantzerath-group.com/dcim/sites/"&amp;VLOOKUP(A165,Table2[],2,FALSE),VLOOKUP(A165,Table2[],2,FALSE))</f>
        <v>2270</v>
      </c>
      <c r="C165" t="str">
        <f>VLOOKUP(A165,Table2[],3,FALSE)</f>
        <v>Active</v>
      </c>
      <c r="D165">
        <f>VLOOKUP(A165,Table2[],8,FALSE)</f>
        <v>0</v>
      </c>
      <c r="E165" t="str">
        <f>VLOOKUP(A165,Table2[],4,FALSE)</f>
        <v>VPN</v>
      </c>
      <c r="F165" t="str">
        <f>VLOOKUP(A165,Table2[],5,FALSE)</f>
        <v>Station du Cropt SA - Rue du Cropt 8 - 1880 Bex - 101620</v>
      </c>
      <c r="G165" t="s">
        <v>4686</v>
      </c>
      <c r="H165" s="3" t="b">
        <v>1</v>
      </c>
      <c r="I165" s="4" t="s">
        <v>4812</v>
      </c>
    </row>
    <row r="166" spans="1:9" x14ac:dyDescent="0.35">
      <c r="A166">
        <v>101757</v>
      </c>
      <c r="B166" s="2">
        <f>HYPERLINK("https://ipam.lantzerath-group.com/dcim/sites/"&amp;VLOOKUP(A166,Table2[],2,FALSE),VLOOKUP(A166,Table2[],2,FALSE))</f>
        <v>2285</v>
      </c>
      <c r="C166" t="str">
        <f>VLOOKUP(A166,Table2[],3,FALSE)</f>
        <v>Active</v>
      </c>
      <c r="D166">
        <f>VLOOKUP(A166,Table2[],8,FALSE)</f>
        <v>0</v>
      </c>
      <c r="E166" t="str">
        <f>VLOOKUP(A166,Table2[],4,FALSE)</f>
        <v>VPN</v>
      </c>
      <c r="F166" t="str">
        <f>VLOOKUP(A166,Table2[],5,FALSE)</f>
        <v>Spescha Garage AG - Via San Clau Sura 35 - 7130 Ilanz - 101757</v>
      </c>
      <c r="G166" t="s">
        <v>4686</v>
      </c>
      <c r="H166" s="3" t="b">
        <v>1</v>
      </c>
      <c r="I166" s="4" t="s">
        <v>4813</v>
      </c>
    </row>
    <row r="167" spans="1:9" x14ac:dyDescent="0.35">
      <c r="A167">
        <v>101083</v>
      </c>
      <c r="B167" s="2">
        <f>HYPERLINK("https://ipam.lantzerath-group.com/dcim/sites/"&amp;VLOOKUP(A167,Table2[],2,FALSE),VLOOKUP(A167,Table2[],2,FALSE))</f>
        <v>2235</v>
      </c>
      <c r="C167" t="str">
        <f>VLOOKUP(A167,Table2[],3,FALSE)</f>
        <v>Active</v>
      </c>
      <c r="D167">
        <f>VLOOKUP(A167,Table2[],8,FALSE)</f>
        <v>0</v>
      </c>
      <c r="E167" t="str">
        <f>VLOOKUP(A167,Table2[],4,FALSE)</f>
        <v>VPN</v>
      </c>
      <c r="F167" t="str">
        <f>VLOOKUP(A167,Table2[],5,FALSE)</f>
        <v>Garage + Carrosserie Rüfenacht AG - Murtenstrasse 2-8 - Mühleberg - 101083</v>
      </c>
      <c r="G167" t="s">
        <v>4686</v>
      </c>
      <c r="H167" s="3" t="b">
        <v>1</v>
      </c>
      <c r="I167" s="4" t="s">
        <v>4814</v>
      </c>
    </row>
    <row r="168" spans="1:9" x14ac:dyDescent="0.35">
      <c r="A168">
        <v>103628</v>
      </c>
      <c r="B168" s="2">
        <f>HYPERLINK("https://ipam.lantzerath-group.com/dcim/sites/"&amp;VLOOKUP(A168,Table2[],2,FALSE),VLOOKUP(A168,Table2[],2,FALSE))</f>
        <v>2552</v>
      </c>
      <c r="C168" t="str">
        <f>VLOOKUP(A168,Table2[],3,FALSE)</f>
        <v>Active</v>
      </c>
      <c r="D168">
        <f>VLOOKUP(A168,Table2[],8,FALSE)</f>
        <v>0</v>
      </c>
      <c r="E168" t="str">
        <f>VLOOKUP(A168,Table2[],4,FALSE)</f>
        <v>VPN</v>
      </c>
      <c r="F168" t="str">
        <f>VLOOKUP(A168,Table2[],5,FALSE)</f>
        <v>Auto Mirer AG - Affeier 91 - 7134 Obersaxen - 103628</v>
      </c>
      <c r="G168" t="s">
        <v>4686</v>
      </c>
      <c r="H168" s="3" t="b">
        <v>1</v>
      </c>
      <c r="I168" s="4" t="s">
        <v>4815</v>
      </c>
    </row>
    <row r="169" spans="1:9" x14ac:dyDescent="0.35">
      <c r="A169">
        <v>103649</v>
      </c>
      <c r="B169" s="2">
        <f>HYPERLINK("https://ipam.lantzerath-group.com/dcim/sites/"&amp;VLOOKUP(A169,Table2[],2,FALSE),VLOOKUP(A169,Table2[],2,FALSE))</f>
        <v>2555</v>
      </c>
      <c r="C169" t="str">
        <f>VLOOKUP(A169,Table2[],3,FALSE)</f>
        <v>Active</v>
      </c>
      <c r="D169">
        <f>VLOOKUP(A169,Table2[],8,FALSE)</f>
        <v>0</v>
      </c>
      <c r="E169" t="str">
        <f>VLOOKUP(A169,Table2[],4,FALSE)</f>
        <v>VPN</v>
      </c>
      <c r="F169" t="str">
        <f>VLOOKUP(A169,Table2[],5,FALSE)</f>
        <v>Busset Station Sàrl - Route du Pillon 26 - 1864 Vers-l'Eglise - 103649</v>
      </c>
      <c r="G169" t="s">
        <v>4686</v>
      </c>
      <c r="H169" s="3" t="b">
        <v>1</v>
      </c>
      <c r="I169" s="4" t="s">
        <v>4931</v>
      </c>
    </row>
    <row r="170" spans="1:9" x14ac:dyDescent="0.35">
      <c r="A170">
        <v>101963</v>
      </c>
      <c r="B170" s="2">
        <f>HYPERLINK("https://ipam.lantzerath-group.com/dcim/sites/"&amp;VLOOKUP(A170,Table2[],2,FALSE),VLOOKUP(A170,Table2[],2,FALSE))</f>
        <v>2333</v>
      </c>
      <c r="C170" t="str">
        <f>VLOOKUP(A170,Table2[],3,FALSE)</f>
        <v>Active</v>
      </c>
      <c r="D170">
        <f>VLOOKUP(A170,Table2[],8,FALSE)</f>
        <v>0</v>
      </c>
      <c r="E170" t="str">
        <f>VLOOKUP(A170,Table2[],4,FALSE)</f>
        <v>VPN</v>
      </c>
      <c r="F170" t="str">
        <f>VLOOKUP(A170,Table2[],5,FALSE)</f>
        <v>FS-Tankstelle D. Hübscher - Alte Bahnhofstrasse 9 - 5610 Wohlen AG - 101963</v>
      </c>
      <c r="G170" t="s">
        <v>4686</v>
      </c>
      <c r="H170" s="3" t="b">
        <v>1</v>
      </c>
      <c r="I170" s="4" t="s">
        <v>4912</v>
      </c>
    </row>
    <row r="171" spans="1:9" x14ac:dyDescent="0.35">
      <c r="A171">
        <v>101929</v>
      </c>
      <c r="B171" s="2">
        <f>HYPERLINK("https://ipam.lantzerath-group.com/dcim/sites/"&amp;VLOOKUP(A171,Table2[],2,FALSE),VLOOKUP(A171,Table2[],2,FALSE))</f>
        <v>2324</v>
      </c>
      <c r="C171" t="str">
        <f>VLOOKUP(A171,Table2[],3,FALSE)</f>
        <v>Active</v>
      </c>
      <c r="D171">
        <f>VLOOKUP(A171,Table2[],8,FALSE)</f>
        <v>0</v>
      </c>
      <c r="E171" t="str">
        <f>VLOOKUP(A171,Table2[],4,FALSE)</f>
        <v>VPN</v>
      </c>
      <c r="F171" t="str">
        <f>VLOOKUP(A171,Table2[],5,FALSE)</f>
        <v>Garage Bühler - Lenkstrasse 81 - 3772 St. Stephan - 101929</v>
      </c>
      <c r="G171" t="s">
        <v>4686</v>
      </c>
      <c r="H171" s="3" t="b">
        <v>1</v>
      </c>
      <c r="I171" s="4" t="s">
        <v>4937</v>
      </c>
    </row>
    <row r="172" spans="1:9" x14ac:dyDescent="0.35">
      <c r="A172">
        <v>101024</v>
      </c>
      <c r="B172" s="2">
        <f>HYPERLINK("https://ipam.lantzerath-group.com/dcim/sites/"&amp;VLOOKUP(A172,Table2[],2,FALSE),VLOOKUP(A172,Table2[],2,FALSE))</f>
        <v>2231</v>
      </c>
      <c r="C172" t="str">
        <f>VLOOKUP(A172,Table2[],3,FALSE)</f>
        <v>Active</v>
      </c>
      <c r="D172">
        <f>VLOOKUP(A172,Table2[],8,FALSE)</f>
        <v>0</v>
      </c>
      <c r="E172" t="str">
        <f>VLOOKUP(A172,Table2[],4,FALSE)</f>
        <v>VPN</v>
      </c>
      <c r="F172" t="str">
        <f>VLOOKUP(A172,Table2[],5,FALSE)</f>
        <v>Lebet - Route de Genevrex 1 - 1071 Chexbres - 101024</v>
      </c>
      <c r="G172" t="s">
        <v>4686</v>
      </c>
      <c r="H172" s="3" t="b">
        <v>1</v>
      </c>
      <c r="I172" s="4" t="s">
        <v>4816</v>
      </c>
    </row>
    <row r="173" spans="1:9" x14ac:dyDescent="0.35">
      <c r="A173">
        <v>102283</v>
      </c>
      <c r="B173" s="2">
        <f>HYPERLINK("https://ipam.lantzerath-group.com/dcim/sites/"&amp;VLOOKUP(A173,Table2[],2,FALSE),VLOOKUP(A173,Table2[],2,FALSE))</f>
        <v>2380</v>
      </c>
      <c r="C173" t="str">
        <f>VLOOKUP(A173,Table2[],3,FALSE)</f>
        <v>Active</v>
      </c>
      <c r="D173">
        <f>VLOOKUP(A173,Table2[],8,FALSE)</f>
        <v>0</v>
      </c>
      <c r="E173" t="str">
        <f>VLOOKUP(A173,Table2[],4,FALSE)</f>
        <v>VPN</v>
      </c>
      <c r="F173" t="str">
        <f>VLOOKUP(A173,Table2[],5,FALSE)</f>
        <v>Tankstelle Schneider - Hintergasse 1 - 4914 Roggwil BE - 102283</v>
      </c>
      <c r="G173" t="s">
        <v>4686</v>
      </c>
      <c r="H173" s="3" t="b">
        <v>1</v>
      </c>
      <c r="I173" s="4" t="s">
        <v>4913</v>
      </c>
    </row>
    <row r="174" spans="1:9" x14ac:dyDescent="0.35">
      <c r="A174">
        <v>103197</v>
      </c>
      <c r="B174" s="2">
        <f>HYPERLINK("https://ipam.lantzerath-group.com/dcim/sites/"&amp;VLOOKUP(A174,Table2[],2,FALSE),VLOOKUP(A174,Table2[],2,FALSE))</f>
        <v>2502</v>
      </c>
      <c r="C174" t="str">
        <f>VLOOKUP(A174,Table2[],3,FALSE)</f>
        <v>Active</v>
      </c>
      <c r="D174">
        <f>VLOOKUP(A174,Table2[],8,FALSE)</f>
        <v>0</v>
      </c>
      <c r="E174" t="str">
        <f>VLOOKUP(A174,Table2[],4,FALSE)</f>
        <v>VPN</v>
      </c>
      <c r="F174" t="str">
        <f>VLOOKUP(A174,Table2[],5,FALSE)</f>
        <v>Direzione Aeroporto Cantonale di Locarno - Via Aeroporto 26 - 6596 Gordola - 103197</v>
      </c>
      <c r="G174" t="s">
        <v>4686</v>
      </c>
      <c r="H174" s="3" t="b">
        <v>1</v>
      </c>
      <c r="I174" s="4" t="s">
        <v>4817</v>
      </c>
    </row>
    <row r="175" spans="1:9" x14ac:dyDescent="0.35">
      <c r="A175">
        <v>102613</v>
      </c>
      <c r="B175" s="2">
        <f>HYPERLINK("https://ipam.lantzerath-group.com/dcim/sites/"&amp;VLOOKUP(A175,Table2[],2,FALSE),VLOOKUP(A175,Table2[],2,FALSE))</f>
        <v>2433</v>
      </c>
      <c r="C175" t="str">
        <f>VLOOKUP(A175,Table2[],3,FALSE)</f>
        <v>Active</v>
      </c>
      <c r="D175">
        <f>VLOOKUP(A175,Table2[],8,FALSE)</f>
        <v>0</v>
      </c>
      <c r="E175" t="str">
        <f>VLOOKUP(A175,Table2[],4,FALSE)</f>
        <v>VPN</v>
      </c>
      <c r="F175" t="str">
        <f>VLOOKUP(A175,Table2[],5,FALSE)</f>
        <v>Reist Motorengeräte - Müntschemiergasse 30 - 3232 Ins - 102613</v>
      </c>
      <c r="G175" t="s">
        <v>4686</v>
      </c>
      <c r="H175" s="3" t="b">
        <v>1</v>
      </c>
      <c r="I175" s="4" t="s">
        <v>4818</v>
      </c>
    </row>
    <row r="176" spans="1:9" x14ac:dyDescent="0.35">
      <c r="A176">
        <v>104095</v>
      </c>
      <c r="B176" s="2">
        <f>HYPERLINK("https://ipam.lantzerath-group.com/dcim/sites/"&amp;VLOOKUP(A176,Table2[],2,FALSE),VLOOKUP(A176,Table2[],2,FALSE))</f>
        <v>2609</v>
      </c>
      <c r="C176" t="str">
        <f>VLOOKUP(A176,Table2[],3,FALSE)</f>
        <v>Active</v>
      </c>
      <c r="D176">
        <f>VLOOKUP(A176,Table2[],8,FALSE)</f>
        <v>0</v>
      </c>
      <c r="E176" t="str">
        <f>VLOOKUP(A176,Table2[],4,FALSE)</f>
        <v>VPN</v>
      </c>
      <c r="F176" t="str">
        <f>VLOOKUP(A176,Table2[],5,FALSE)</f>
        <v>Piz Aul Garage - Station Piz Aul - 7132 Vals - 104095</v>
      </c>
      <c r="G176" t="s">
        <v>4686</v>
      </c>
      <c r="H176" s="3" t="b">
        <v>1</v>
      </c>
      <c r="I176" s="4" t="s">
        <v>4819</v>
      </c>
    </row>
    <row r="177" spans="1:9" x14ac:dyDescent="0.35">
      <c r="A177">
        <v>104096</v>
      </c>
      <c r="B177" s="2">
        <f>HYPERLINK("https://ipam.lantzerath-group.com/dcim/sites/"&amp;VLOOKUP(A177,Table2[],2,FALSE),VLOOKUP(A177,Table2[],2,FALSE))</f>
        <v>2610</v>
      </c>
      <c r="C177" t="str">
        <f>VLOOKUP(A177,Table2[],3,FALSE)</f>
        <v>Active</v>
      </c>
      <c r="D177">
        <f>VLOOKUP(A177,Table2[],8,FALSE)</f>
        <v>0</v>
      </c>
      <c r="E177" t="str">
        <f>VLOOKUP(A177,Table2[],4,FALSE)</f>
        <v>VPN</v>
      </c>
      <c r="F177" t="str">
        <f>VLOOKUP(A177,Table2[],5,FALSE)</f>
        <v>Piz Aul Garage - Station Therme - 7132 Vals - 104096</v>
      </c>
      <c r="G177" t="s">
        <v>4686</v>
      </c>
      <c r="H177" s="3" t="b">
        <v>1</v>
      </c>
      <c r="I177" s="4" t="s">
        <v>4820</v>
      </c>
    </row>
    <row r="178" spans="1:9" x14ac:dyDescent="0.35">
      <c r="A178">
        <v>102479</v>
      </c>
      <c r="B178" s="2">
        <f>HYPERLINK("https://ipam.lantzerath-group.com/dcim/sites/"&amp;VLOOKUP(A178,Table2[],2,FALSE),VLOOKUP(A178,Table2[],2,FALSE))</f>
        <v>2412</v>
      </c>
      <c r="C178" t="str">
        <f>VLOOKUP(A178,Table2[],3,FALSE)</f>
        <v>Active</v>
      </c>
      <c r="D178">
        <f>VLOOKUP(A178,Table2[],8,FALSE)</f>
        <v>0</v>
      </c>
      <c r="E178" t="str">
        <f>VLOOKUP(A178,Table2[],4,FALSE)</f>
        <v>VPN</v>
      </c>
      <c r="F178" t="str">
        <f>VLOOKUP(A178,Table2[],5,FALSE)</f>
        <v>Garage Niederberger AG - Hauptstrasse 58 - Wollerau -  102479</v>
      </c>
      <c r="G178" t="s">
        <v>4686</v>
      </c>
      <c r="H178" s="3" t="b">
        <v>1</v>
      </c>
      <c r="I178" s="4" t="s">
        <v>4821</v>
      </c>
    </row>
    <row r="179" spans="1:9" x14ac:dyDescent="0.35">
      <c r="A179">
        <v>103100</v>
      </c>
      <c r="B179" s="2">
        <f>HYPERLINK("https://ipam.lantzerath-group.com/dcim/sites/"&amp;VLOOKUP(A179,Table2[],2,FALSE),VLOOKUP(A179,Table2[],2,FALSE))</f>
        <v>2490</v>
      </c>
      <c r="C179" t="str">
        <f>VLOOKUP(A179,Table2[],3,FALSE)</f>
        <v>Active</v>
      </c>
      <c r="D179">
        <f>VLOOKUP(A179,Table2[],8,FALSE)</f>
        <v>0</v>
      </c>
      <c r="E179" t="str">
        <f>VLOOKUP(A179,Table2[],4,FALSE)</f>
        <v>VPN</v>
      </c>
      <c r="F179" t="str">
        <f>VLOOKUP(A179,Table2[],5,FALSE)</f>
        <v>Garage Niederberger AG - Roosstrasse 20 - 8832 Wollerau - 103100</v>
      </c>
      <c r="G179" t="s">
        <v>4686</v>
      </c>
      <c r="H179" s="3" t="b">
        <v>1</v>
      </c>
      <c r="I179" s="4" t="s">
        <v>4822</v>
      </c>
    </row>
    <row r="180" spans="1:9" x14ac:dyDescent="0.35">
      <c r="A180">
        <v>103999</v>
      </c>
      <c r="B180" s="2">
        <f>HYPERLINK("https://ipam.lantzerath-group.com/dcim/sites/"&amp;VLOOKUP(A180,Table2[],2,FALSE),VLOOKUP(A180,Table2[],2,FALSE))</f>
        <v>2597</v>
      </c>
      <c r="C180" t="str">
        <f>VLOOKUP(A180,Table2[],3,FALSE)</f>
        <v>Active</v>
      </c>
      <c r="D180">
        <f>VLOOKUP(A180,Table2[],8,FALSE)</f>
        <v>0</v>
      </c>
      <c r="E180" t="str">
        <f>VLOOKUP(A180,Table2[],4,FALSE)</f>
        <v>VPN</v>
      </c>
      <c r="F180" t="str">
        <f>VLOOKUP(A180,Table2[],5,FALSE)</f>
        <v>Auto-Garage Solidoro &amp; Carrosserie - Zürcherstrasse 73 - 8800 Thalwil - 103999</v>
      </c>
      <c r="G180" t="s">
        <v>4686</v>
      </c>
      <c r="H180" s="3" t="b">
        <v>1</v>
      </c>
      <c r="I180" s="4" t="s">
        <v>4823</v>
      </c>
    </row>
    <row r="181" spans="1:9" x14ac:dyDescent="0.35">
      <c r="A181">
        <v>103106</v>
      </c>
      <c r="B181" s="2">
        <f>HYPERLINK("https://ipam.lantzerath-group.com/dcim/sites/"&amp;VLOOKUP(A181,Table2[],2,FALSE),VLOOKUP(A181,Table2[],2,FALSE))</f>
        <v>2492</v>
      </c>
      <c r="C181" t="str">
        <f>VLOOKUP(A181,Table2[],3,FALSE)</f>
        <v>Active</v>
      </c>
      <c r="D181">
        <f>VLOOKUP(A181,Table2[],8,FALSE)</f>
        <v>0</v>
      </c>
      <c r="E181" t="str">
        <f>VLOOKUP(A181,Table2[],4,FALSE)</f>
        <v>VPN</v>
      </c>
      <c r="F181" t="str">
        <f>VLOOKUP(A181,Table2[],5,FALSE)</f>
        <v>Coffee Time - Grand'Rue 3 - 1425 Onnens VD - 103106</v>
      </c>
      <c r="G181" t="s">
        <v>4686</v>
      </c>
      <c r="H181" s="3" t="b">
        <v>1</v>
      </c>
      <c r="I181" s="4" t="s">
        <v>4914</v>
      </c>
    </row>
    <row r="182" spans="1:9" x14ac:dyDescent="0.35">
      <c r="A182">
        <v>101855</v>
      </c>
      <c r="B182" s="2">
        <f>HYPERLINK("https://ipam.lantzerath-group.com/dcim/sites/"&amp;VLOOKUP(A182,Table2[],2,FALSE),VLOOKUP(A182,Table2[],2,FALSE))</f>
        <v>2302</v>
      </c>
      <c r="C182" t="str">
        <f>VLOOKUP(A182,Table2[],3,FALSE)</f>
        <v>Active</v>
      </c>
      <c r="D182">
        <f>VLOOKUP(A182,Table2[],8,FALSE)</f>
        <v>0</v>
      </c>
      <c r="E182" t="str">
        <f>VLOOKUP(A182,Table2[],4,FALSE)</f>
        <v>VPN</v>
      </c>
      <c r="F182" t="str">
        <f>VLOOKUP(A182,Table2[],5,FALSE)</f>
        <v>Burg &amp; Holzmätteli Tankstellen AG - Bernstrasse 47 - 3613 Steffisburg - 101855</v>
      </c>
      <c r="G182" t="s">
        <v>4686</v>
      </c>
      <c r="H182" s="3" t="b">
        <v>1</v>
      </c>
      <c r="I182" s="4" t="s">
        <v>4824</v>
      </c>
    </row>
    <row r="183" spans="1:9" x14ac:dyDescent="0.35">
      <c r="A183">
        <v>101858</v>
      </c>
      <c r="B183" s="2">
        <f>HYPERLINK("https://ipam.lantzerath-group.com/dcim/sites/"&amp;VLOOKUP(A183,Table2[],2,FALSE),VLOOKUP(A183,Table2[],2,FALSE))</f>
        <v>2305</v>
      </c>
      <c r="C183" t="str">
        <f>VLOOKUP(A183,Table2[],3,FALSE)</f>
        <v>Active</v>
      </c>
      <c r="D183">
        <f>VLOOKUP(A183,Table2[],8,FALSE)</f>
        <v>0</v>
      </c>
      <c r="E183" t="str">
        <f>VLOOKUP(A183,Table2[],4,FALSE)</f>
        <v>VPN</v>
      </c>
      <c r="F183" t="str">
        <f>VLOOKUP(A183,Table2[],5,FALSE)</f>
        <v>Burg &amp; Holzmätteli Tankstellen AG - Burgstrasse 18 - 3600 Thun - 101858</v>
      </c>
      <c r="G183" t="s">
        <v>4686</v>
      </c>
      <c r="H183" s="3" t="b">
        <v>1</v>
      </c>
      <c r="I183" s="4" t="s">
        <v>4825</v>
      </c>
    </row>
    <row r="184" spans="1:9" x14ac:dyDescent="0.35">
      <c r="A184">
        <v>101856</v>
      </c>
      <c r="B184" s="2">
        <f>HYPERLINK("https://ipam.lantzerath-group.com/dcim/sites/"&amp;VLOOKUP(A184,Table2[],2,FALSE),VLOOKUP(A184,Table2[],2,FALSE))</f>
        <v>2303</v>
      </c>
      <c r="C184" t="str">
        <f>VLOOKUP(A184,Table2[],3,FALSE)</f>
        <v>Active</v>
      </c>
      <c r="D184">
        <f>VLOOKUP(A184,Table2[],8,FALSE)</f>
        <v>0</v>
      </c>
      <c r="E184" t="str">
        <f>VLOOKUP(A184,Table2[],4,FALSE)</f>
        <v>VPN</v>
      </c>
      <c r="F184" t="str">
        <f>VLOOKUP(A184,Table2[],5,FALSE)</f>
        <v>Burg &amp; Holzmätteli Tankstellen  AG - Staatsstrasse 170 - 3626 Hünibach - 101856</v>
      </c>
      <c r="G184" t="s">
        <v>4686</v>
      </c>
      <c r="H184" s="3" t="b">
        <v>1</v>
      </c>
      <c r="I184" s="4" t="s">
        <v>4826</v>
      </c>
    </row>
    <row r="185" spans="1:9" x14ac:dyDescent="0.35">
      <c r="A185">
        <v>101891</v>
      </c>
      <c r="B185" s="2">
        <f>HYPERLINK("https://ipam.lantzerath-group.com/dcim/sites/"&amp;VLOOKUP(A185,Table2[],2,FALSE),VLOOKUP(A185,Table2[],2,FALSE))</f>
        <v>2312</v>
      </c>
      <c r="C185" t="str">
        <f>VLOOKUP(A185,Table2[],3,FALSE)</f>
        <v>Active</v>
      </c>
      <c r="D185">
        <f>VLOOKUP(A185,Table2[],8,FALSE)</f>
        <v>0</v>
      </c>
      <c r="E185" t="str">
        <f>VLOOKUP(A185,Table2[],4,FALSE)</f>
        <v>VPN</v>
      </c>
      <c r="F185" t="str">
        <f>VLOOKUP(A185,Table2[],5,FALSE)</f>
        <v>Gemeinde Avers - Cresta 107 - 7447 Cresta (Avers) - 101891</v>
      </c>
      <c r="G185" t="s">
        <v>4686</v>
      </c>
      <c r="H185" s="3" t="b">
        <v>1</v>
      </c>
      <c r="I185" s="4" t="s">
        <v>4934</v>
      </c>
    </row>
    <row r="186" spans="1:9" x14ac:dyDescent="0.35">
      <c r="A186">
        <v>101857</v>
      </c>
      <c r="B186" s="2">
        <f>HYPERLINK("https://ipam.lantzerath-group.com/dcim/sites/"&amp;VLOOKUP(A186,Table2[],2,FALSE),VLOOKUP(A186,Table2[],2,FALSE))</f>
        <v>2304</v>
      </c>
      <c r="C186" t="str">
        <f>VLOOKUP(A186,Table2[],3,FALSE)</f>
        <v>Active</v>
      </c>
      <c r="D186">
        <f>VLOOKUP(A186,Table2[],8,FALSE)</f>
        <v>0</v>
      </c>
      <c r="E186" t="str">
        <f>VLOOKUP(A186,Table2[],4,FALSE)</f>
        <v>VPN</v>
      </c>
      <c r="F186" t="str">
        <f>VLOOKUP(A186,Table2[],5,FALSE)</f>
        <v>Tankstelle Bierigut - Pfandernstrasse 1a - 3608 Thun - 101857</v>
      </c>
      <c r="G186" t="s">
        <v>4686</v>
      </c>
      <c r="H186" s="3" t="b">
        <v>1</v>
      </c>
      <c r="I186" s="4" t="s">
        <v>4827</v>
      </c>
    </row>
    <row r="187" spans="1:9" x14ac:dyDescent="0.35">
      <c r="A187">
        <v>101202</v>
      </c>
      <c r="B187" s="2">
        <f>HYPERLINK("https://ipam.lantzerath-group.com/dcim/sites/"&amp;VLOOKUP(A187,Table2[],2,FALSE),VLOOKUP(A187,Table2[],2,FALSE))</f>
        <v>2250</v>
      </c>
      <c r="C187" t="str">
        <f>VLOOKUP(A187,Table2[],3,FALSE)</f>
        <v>Active</v>
      </c>
      <c r="D187">
        <f>VLOOKUP(A187,Table2[],8,FALSE)</f>
        <v>0</v>
      </c>
      <c r="E187" t="str">
        <f>VLOOKUP(A187,Table2[],4,FALSE)</f>
        <v>VPN</v>
      </c>
      <c r="F187" t="str">
        <f>VLOOKUP(A187,Table2[],5,FALSE)</f>
        <v>Bellevue-Garage - Luzernerstrasse 11 - 5642 Mühlau - 101202</v>
      </c>
      <c r="G187" t="s">
        <v>4686</v>
      </c>
      <c r="H187" s="3" t="b">
        <v>1</v>
      </c>
      <c r="I187" s="4" t="s">
        <v>4828</v>
      </c>
    </row>
    <row r="188" spans="1:9" x14ac:dyDescent="0.35">
      <c r="A188">
        <v>102080</v>
      </c>
      <c r="B188" s="2">
        <f>HYPERLINK("https://ipam.lantzerath-group.com/dcim/sites/"&amp;VLOOKUP(A188,Table2[],2,FALSE),VLOOKUP(A188,Table2[],2,FALSE))</f>
        <v>2348</v>
      </c>
      <c r="C188" t="str">
        <f>VLOOKUP(A188,Table2[],3,FALSE)</f>
        <v>Active</v>
      </c>
      <c r="D188">
        <f>VLOOKUP(A188,Table2[],8,FALSE)</f>
        <v>0</v>
      </c>
      <c r="E188" t="str">
        <f>VLOOKUP(A188,Table2[],4,FALSE)</f>
        <v>VPN</v>
      </c>
      <c r="F188" t="str">
        <f>VLOOKUP(A188,Table2[],5,FALSE)</f>
        <v>Bellevue-Garage - Zürcherstrasse 45 - 8908 Hedingen - 102080</v>
      </c>
      <c r="G188" t="s">
        <v>4686</v>
      </c>
      <c r="H188" s="3" t="b">
        <v>1</v>
      </c>
      <c r="I188" s="4" t="s">
        <v>4829</v>
      </c>
    </row>
    <row r="189" spans="1:9" x14ac:dyDescent="0.35">
      <c r="A189">
        <v>101133</v>
      </c>
      <c r="B189" s="2">
        <f>HYPERLINK("https://ipam.lantzerath-group.com/dcim/sites/"&amp;VLOOKUP(A189,Table2[],2,FALSE),VLOOKUP(A189,Table2[],2,FALSE))</f>
        <v>2242</v>
      </c>
      <c r="C189" t="str">
        <f>VLOOKUP(A189,Table2[],3,FALSE)</f>
        <v>Active</v>
      </c>
      <c r="D189">
        <f>VLOOKUP(A189,Table2[],8,FALSE)</f>
        <v>0</v>
      </c>
      <c r="E189" t="str">
        <f>VLOOKUP(A189,Table2[],4,FALSE)</f>
        <v>VPN</v>
      </c>
      <c r="F189" t="str">
        <f>VLOOKUP(A189,Table2[],5,FALSE)</f>
        <v>Nicca AG - Wuhrstrasse 1 - 7435 Splügen - 101133</v>
      </c>
      <c r="G189" t="s">
        <v>4686</v>
      </c>
      <c r="H189" s="3" t="b">
        <v>1</v>
      </c>
      <c r="I189" s="4" t="s">
        <v>4830</v>
      </c>
    </row>
    <row r="190" spans="1:9" x14ac:dyDescent="0.35">
      <c r="A190">
        <v>104142</v>
      </c>
      <c r="B190" s="2">
        <f>HYPERLINK("https://ipam.lantzerath-group.com/dcim/sites/"&amp;VLOOKUP(A190,Table2[],2,FALSE),VLOOKUP(A190,Table2[],2,FALSE))</f>
        <v>2614</v>
      </c>
      <c r="C190" t="str">
        <f>VLOOKUP(A190,Table2[],3,FALSE)</f>
        <v>Active</v>
      </c>
      <c r="D190">
        <f>VLOOKUP(A190,Table2[],8,FALSE)</f>
        <v>0</v>
      </c>
      <c r="E190" t="str">
        <f>VLOOKUP(A190,Table2[],4,FALSE)</f>
        <v>VPN</v>
      </c>
      <c r="F190" t="str">
        <f>VLOOKUP(A190,Table2[],5,FALSE)</f>
        <v>Hürlimann + CO - Hauptstrasse 36 - 5506 Mägenwil - 104142</v>
      </c>
      <c r="G190" t="s">
        <v>4686</v>
      </c>
      <c r="H190" s="3" t="b">
        <v>1</v>
      </c>
      <c r="I190" s="4" t="s">
        <v>4831</v>
      </c>
    </row>
    <row r="191" spans="1:9" x14ac:dyDescent="0.35">
      <c r="A191">
        <v>103149</v>
      </c>
      <c r="B191" s="2">
        <f>HYPERLINK("https://ipam.lantzerath-group.com/dcim/sites/"&amp;VLOOKUP(A191,Table2[],2,FALSE),VLOOKUP(A191,Table2[],2,FALSE))</f>
        <v>2496</v>
      </c>
      <c r="C191" t="str">
        <f>VLOOKUP(A191,Table2[],3,FALSE)</f>
        <v>Active</v>
      </c>
      <c r="D191">
        <f>VLOOKUP(A191,Table2[],8,FALSE)</f>
        <v>0</v>
      </c>
      <c r="E191" t="str">
        <f>VLOOKUP(A191,Table2[],4,FALSE)</f>
        <v>VPN</v>
      </c>
      <c r="F191" t="str">
        <f>VLOOKUP(A191,Table2[],5,FALSE)</f>
        <v>Herrmann und Zulliger AG - 103149</v>
      </c>
      <c r="G191" t="s">
        <v>4686</v>
      </c>
      <c r="H191" s="3" t="b">
        <v>1</v>
      </c>
      <c r="I191" s="4" t="s">
        <v>4894</v>
      </c>
    </row>
    <row r="192" spans="1:9" x14ac:dyDescent="0.35">
      <c r="A192">
        <v>101522</v>
      </c>
      <c r="B192" s="2">
        <f>HYPERLINK("https://ipam.lantzerath-group.com/dcim/sites/"&amp;VLOOKUP(A192,Table2[],2,FALSE),VLOOKUP(A192,Table2[],2,FALSE))</f>
        <v>2266</v>
      </c>
      <c r="C192" t="str">
        <f>VLOOKUP(A192,Table2[],3,FALSE)</f>
        <v>Active</v>
      </c>
      <c r="D192">
        <f>VLOOKUP(A192,Table2[],8,FALSE)</f>
        <v>0</v>
      </c>
      <c r="E192" t="str">
        <f>VLOOKUP(A192,Table2[],4,FALSE)</f>
        <v>VPN</v>
      </c>
      <c r="F192" t="str">
        <f>VLOOKUP(A192,Table2[],5,FALSE)</f>
        <v>Coop - Rte de la plaine - 1123 Aclens - 101522</v>
      </c>
      <c r="G192" t="s">
        <v>4686</v>
      </c>
      <c r="H192" s="3" t="b">
        <v>1</v>
      </c>
      <c r="I192" s="4" t="s">
        <v>4832</v>
      </c>
    </row>
    <row r="193" spans="1:9" x14ac:dyDescent="0.35">
      <c r="A193">
        <v>103088</v>
      </c>
      <c r="B193" s="2">
        <f>HYPERLINK("https://ipam.lantzerath-group.com/dcim/sites/"&amp;VLOOKUP(A193,Table2[],2,FALSE),VLOOKUP(A193,Table2[],2,FALSE))</f>
        <v>2488</v>
      </c>
      <c r="C193" t="str">
        <f>VLOOKUP(A193,Table2[],3,FALSE)</f>
        <v>Active</v>
      </c>
      <c r="D193">
        <f>VLOOKUP(A193,Table2[],8,FALSE)</f>
        <v>0</v>
      </c>
      <c r="E193" t="str">
        <f>VLOOKUP(A193,Table2[],4,FALSE)</f>
        <v>VPN</v>
      </c>
      <c r="F193" t="str">
        <f>VLOOKUP(A193,Table2[],5,FALSE)</f>
        <v>Suisse Petroli SA - Via Remo Rossi 5 - 6864 Arzo - 103088</v>
      </c>
      <c r="G193" t="s">
        <v>4686</v>
      </c>
      <c r="H193" s="3" t="b">
        <v>1</v>
      </c>
      <c r="I193" s="4" t="s">
        <v>4833</v>
      </c>
    </row>
    <row r="194" spans="1:9" x14ac:dyDescent="0.35">
      <c r="A194">
        <v>103779</v>
      </c>
      <c r="B194" s="2">
        <f>HYPERLINK("https://ipam.lantzerath-group.com/dcim/sites/"&amp;VLOOKUP(A194,Table2[],2,FALSE),VLOOKUP(A194,Table2[],2,FALSE))</f>
        <v>2570</v>
      </c>
      <c r="C194" t="str">
        <f>VLOOKUP(A194,Table2[],3,FALSE)</f>
        <v>Active</v>
      </c>
      <c r="D194">
        <f>VLOOKUP(A194,Table2[],8,FALSE)</f>
        <v>0</v>
      </c>
      <c r="E194" t="str">
        <f>VLOOKUP(A194,Table2[],4,FALSE)</f>
        <v>VPN</v>
      </c>
      <c r="F194" t="str">
        <f>VLOOKUP(A194,Table2[],5,FALSE)</f>
        <v>Touring-Garage Uhlig AG - Aarütistrasse 4 - 8192 Glattfelden - 103779</v>
      </c>
      <c r="G194" t="s">
        <v>4686</v>
      </c>
      <c r="H194" s="3" t="b">
        <v>1</v>
      </c>
      <c r="I194" s="4" t="s">
        <v>4834</v>
      </c>
    </row>
    <row r="195" spans="1:9" x14ac:dyDescent="0.35">
      <c r="A195">
        <v>102115</v>
      </c>
      <c r="B195" s="2">
        <f>HYPERLINK("https://ipam.lantzerath-group.com/dcim/sites/"&amp;VLOOKUP(A195,Table2[],2,FALSE),VLOOKUP(A195,Table2[],2,FALSE))</f>
        <v>2350</v>
      </c>
      <c r="C195" t="str">
        <f>VLOOKUP(A195,Table2[],3,FALSE)</f>
        <v>Active</v>
      </c>
      <c r="D195">
        <f>VLOOKUP(A195,Table2[],8,FALSE)</f>
        <v>0</v>
      </c>
      <c r="E195" t="str">
        <f>VLOOKUP(A195,Table2[],4,FALSE)</f>
        <v>VPN</v>
      </c>
      <c r="F195" t="str">
        <f>VLOOKUP(A195,Table2[],5,FALSE)</f>
        <v>STEINAG Rozloch AG - Rotzloch 10 - 6362 Stansstad - 102115</v>
      </c>
      <c r="G195" t="s">
        <v>4686</v>
      </c>
      <c r="H195" s="3" t="b">
        <v>1</v>
      </c>
      <c r="I195" s="4" t="s">
        <v>4835</v>
      </c>
    </row>
    <row r="196" spans="1:9" x14ac:dyDescent="0.35">
      <c r="A196">
        <v>104008</v>
      </c>
      <c r="B196" s="2">
        <f>HYPERLINK("https://ipam.lantzerath-group.com/dcim/sites/"&amp;VLOOKUP(A196,Table2[],2,FALSE),VLOOKUP(A196,Table2[],2,FALSE))</f>
        <v>2598</v>
      </c>
      <c r="C196" t="str">
        <f>VLOOKUP(A196,Table2[],3,FALSE)</f>
        <v>Active</v>
      </c>
      <c r="D196">
        <f>VLOOKUP(A196,Table2[],8,FALSE)</f>
        <v>0</v>
      </c>
      <c r="E196" t="str">
        <f>VLOOKUP(A196,Table2[],4,FALSE)</f>
        <v>VPN</v>
      </c>
      <c r="F196" t="str">
        <f>VLOOKUP(A196,Table2[],5,FALSE)</f>
        <v>Scall GmbH Arbonerstrasse 17 - 8599 Salmsach - 104008</v>
      </c>
      <c r="G196" t="s">
        <v>4686</v>
      </c>
      <c r="H196" s="3" t="b">
        <v>1</v>
      </c>
      <c r="I196" s="4" t="s">
        <v>4836</v>
      </c>
    </row>
    <row r="197" spans="1:9" x14ac:dyDescent="0.35">
      <c r="A197">
        <v>102686</v>
      </c>
      <c r="B197" s="2">
        <f>HYPERLINK("https://ipam.lantzerath-group.com/dcim/sites/"&amp;VLOOKUP(A197,Table2[],2,FALSE),VLOOKUP(A197,Table2[],2,FALSE))</f>
        <v>2443</v>
      </c>
      <c r="C197" t="str">
        <f>VLOOKUP(A197,Table2[],3,FALSE)</f>
        <v>Active</v>
      </c>
      <c r="D197">
        <f>VLOOKUP(A197,Table2[],8,FALSE)</f>
        <v>0</v>
      </c>
      <c r="E197" t="str">
        <f>VLOOKUP(A197,Table2[],4,FALSE)</f>
        <v>VPN</v>
      </c>
      <c r="F197" t="str">
        <f>VLOOKUP(A197,Table2[],5,FALSE)</f>
        <v>Sidler &amp; Co. Nottwil AG - Kantonsstrasse 37 - 6207 Nottwil - 102686</v>
      </c>
      <c r="G197" t="s">
        <v>4686</v>
      </c>
      <c r="H197" s="3" t="b">
        <v>1</v>
      </c>
      <c r="I197" s="4" t="s">
        <v>4837</v>
      </c>
    </row>
    <row r="198" spans="1:9" x14ac:dyDescent="0.35">
      <c r="A198">
        <v>102329</v>
      </c>
      <c r="B198" s="2">
        <f>HYPERLINK("https://ipam.lantzerath-group.com/dcim/sites/"&amp;VLOOKUP(A198,Table2[],2,FALSE),VLOOKUP(A198,Table2[],2,FALSE))</f>
        <v>2391</v>
      </c>
      <c r="C198" t="str">
        <f>VLOOKUP(A198,Table2[],3,FALSE)</f>
        <v>Active</v>
      </c>
      <c r="D198">
        <f>VLOOKUP(A198,Table2[],8,FALSE)</f>
        <v>0</v>
      </c>
      <c r="E198" t="str">
        <f>VLOOKUP(A198,Table2[],4,FALSE)</f>
        <v>VPN</v>
      </c>
      <c r="F198" t="str">
        <f>VLOOKUP(A198,Table2[],5,FALSE)</f>
        <v>Freie Tankstelle - Brünigstrasse 149 - 6072 Sachseln - 102329</v>
      </c>
      <c r="G198" t="s">
        <v>4686</v>
      </c>
      <c r="H198" s="3" t="b">
        <v>1</v>
      </c>
      <c r="I198" s="4" t="s">
        <v>4838</v>
      </c>
    </row>
    <row r="199" spans="1:9" x14ac:dyDescent="0.35">
      <c r="A199">
        <v>101897</v>
      </c>
      <c r="B199" s="2">
        <f>HYPERLINK("https://ipam.lantzerath-group.com/dcim/sites/"&amp;VLOOKUP(A199,Table2[],2,FALSE),VLOOKUP(A199,Table2[],2,FALSE))</f>
        <v>2313</v>
      </c>
      <c r="C199" t="str">
        <f>VLOOKUP(A199,Table2[],3,FALSE)</f>
        <v>Active</v>
      </c>
      <c r="D199">
        <f>VLOOKUP(A199,Table2[],8,FALSE)</f>
        <v>0</v>
      </c>
      <c r="E199" t="str">
        <f>VLOOKUP(A199,Table2[],4,FALSE)</f>
        <v>VPN</v>
      </c>
      <c r="F199" t="str">
        <f>VLOOKUP(A199,Table2[],5,FALSE)</f>
        <v>J. Huber AG - Neuenkirchstrasse 26 - 6020 Emmenbrücke - 101897</v>
      </c>
      <c r="G199" t="s">
        <v>4686</v>
      </c>
      <c r="H199" s="3" t="b">
        <v>1</v>
      </c>
      <c r="I199" s="4" t="s">
        <v>4839</v>
      </c>
    </row>
    <row r="200" spans="1:9" x14ac:dyDescent="0.35">
      <c r="A200">
        <v>101899</v>
      </c>
      <c r="B200" s="2">
        <f>HYPERLINK("https://ipam.lantzerath-group.com/dcim/sites/"&amp;VLOOKUP(A200,Table2[],2,FALSE),VLOOKUP(A200,Table2[],2,FALSE))</f>
        <v>2315</v>
      </c>
      <c r="C200" t="str">
        <f>VLOOKUP(A200,Table2[],3,FALSE)</f>
        <v>Active</v>
      </c>
      <c r="D200">
        <f>VLOOKUP(A200,Table2[],8,FALSE)</f>
        <v>0</v>
      </c>
      <c r="E200" t="str">
        <f>VLOOKUP(A200,Table2[],4,FALSE)</f>
        <v>VPN</v>
      </c>
      <c r="F200" t="str">
        <f>VLOOKUP(A200,Table2[],5,FALSE)</f>
        <v>J. Huber AG - St. Karlistrasse 52 - 6003 Luzern - 101899</v>
      </c>
      <c r="G200" t="s">
        <v>4686</v>
      </c>
      <c r="H200" s="3" t="b">
        <v>1</v>
      </c>
      <c r="I200" s="4" t="s">
        <v>4840</v>
      </c>
    </row>
    <row r="201" spans="1:9" x14ac:dyDescent="0.35">
      <c r="A201">
        <v>101193</v>
      </c>
      <c r="B201" s="2">
        <f>HYPERLINK("https://ipam.lantzerath-group.com/dcim/sites/"&amp;VLOOKUP(A201,Table2[],2,FALSE),VLOOKUP(A201,Table2[],2,FALSE))</f>
        <v>2249</v>
      </c>
      <c r="C201" t="str">
        <f>VLOOKUP(A201,Table2[],3,FALSE)</f>
        <v>Active</v>
      </c>
      <c r="D201">
        <f>VLOOKUP(A201,Table2[],8,FALSE)</f>
        <v>0</v>
      </c>
      <c r="E201" t="str">
        <f>VLOOKUP(A201,Table2[],4,FALSE)</f>
        <v>VPN</v>
      </c>
      <c r="F201" t="str">
        <f>VLOOKUP(A201,Table2[],5,FALSE)</f>
        <v>Thyssen Krupp Presta AG - Essanestrasse 10 - 9492 Eschen - 101193</v>
      </c>
      <c r="G201" t="s">
        <v>4686</v>
      </c>
      <c r="H201" s="3" t="b">
        <v>1</v>
      </c>
      <c r="I201" s="4" t="s">
        <v>4841</v>
      </c>
    </row>
    <row r="202" spans="1:9" x14ac:dyDescent="0.35">
      <c r="A202">
        <v>102503</v>
      </c>
      <c r="B202" s="2">
        <f>HYPERLINK("https://ipam.lantzerath-group.com/dcim/sites/"&amp;VLOOKUP(A202,Table2[],2,FALSE),VLOOKUP(A202,Table2[],2,FALSE))</f>
        <v>2420</v>
      </c>
      <c r="C202" t="str">
        <f>VLOOKUP(A202,Table2[],3,FALSE)</f>
        <v>Active</v>
      </c>
      <c r="D202">
        <f>VLOOKUP(A202,Table2[],8,FALSE)</f>
        <v>0</v>
      </c>
      <c r="E202" t="str">
        <f>VLOOKUP(A202,Table2[],4,FALSE)</f>
        <v>VPN</v>
      </c>
      <c r="F202" t="str">
        <f>VLOOKUP(A202,Table2[],5,FALSE)</f>
        <v>Schachengarage AG - Looweg 2 - 9463 Oberriet SG - 102503</v>
      </c>
      <c r="G202" t="s">
        <v>4686</v>
      </c>
      <c r="H202" s="3" t="b">
        <v>1</v>
      </c>
      <c r="I202" s="4" t="s">
        <v>4915</v>
      </c>
    </row>
    <row r="203" spans="1:9" x14ac:dyDescent="0.35">
      <c r="A203">
        <v>103231</v>
      </c>
      <c r="B203" s="2">
        <f>HYPERLINK("https://ipam.lantzerath-group.com/dcim/sites/"&amp;VLOOKUP(A203,Table2[],2,FALSE),VLOOKUP(A203,Table2[],2,FALSE))</f>
        <v>2509</v>
      </c>
      <c r="C203" t="str">
        <f>VLOOKUP(A203,Table2[],3,FALSE)</f>
        <v>Active</v>
      </c>
      <c r="D203">
        <f>VLOOKUP(A203,Table2[],8,FALSE)</f>
        <v>0</v>
      </c>
      <c r="E203" t="str">
        <f>VLOOKUP(A203,Table2[],4,FALSE)</f>
        <v>VPN</v>
      </c>
      <c r="F203" t="str">
        <f>VLOOKUP(A203,Table2[],5,FALSE)</f>
        <v>Vescovi Pietro Sagl - Via Lucomagno 52 - 6718 Olivone - 103231</v>
      </c>
      <c r="G203" t="s">
        <v>4686</v>
      </c>
      <c r="H203" s="3" t="b">
        <v>1</v>
      </c>
      <c r="I203" s="4" t="s">
        <v>4842</v>
      </c>
    </row>
    <row r="204" spans="1:9" x14ac:dyDescent="0.35">
      <c r="A204">
        <v>102452</v>
      </c>
      <c r="B204" s="2">
        <f>HYPERLINK("https://ipam.lantzerath-group.com/dcim/sites/"&amp;VLOOKUP(A204,Table2[],2,FALSE),VLOOKUP(A204,Table2[],2,FALSE))</f>
        <v>2408</v>
      </c>
      <c r="C204" t="str">
        <f>VLOOKUP(A204,Table2[],3,FALSE)</f>
        <v>Active</v>
      </c>
      <c r="D204">
        <f>VLOOKUP(A204,Table2[],8,FALSE)</f>
        <v>0</v>
      </c>
      <c r="E204" t="str">
        <f>VLOOKUP(A204,Table2[],4,FALSE)</f>
        <v>VPN</v>
      </c>
      <c r="F204" t="str">
        <f>VLOOKUP(A204,Table2[],5,FALSE)</f>
        <v>Büchli Automobile - Bahnhofstrasse 2 - 5242 Lupfig - 102452</v>
      </c>
      <c r="G204" t="s">
        <v>4686</v>
      </c>
      <c r="H204" s="3" t="b">
        <v>1</v>
      </c>
      <c r="I204" s="4" t="s">
        <v>4843</v>
      </c>
    </row>
    <row r="205" spans="1:9" x14ac:dyDescent="0.35">
      <c r="A205">
        <v>102502</v>
      </c>
      <c r="B205" s="2">
        <f>HYPERLINK("https://ipam.lantzerath-group.com/dcim/sites/"&amp;VLOOKUP(A205,Table2[],2,FALSE),VLOOKUP(A205,Table2[],2,FALSE))</f>
        <v>2419</v>
      </c>
      <c r="C205" t="str">
        <f>VLOOKUP(A205,Table2[],3,FALSE)</f>
        <v>Active</v>
      </c>
      <c r="D205">
        <f>VLOOKUP(A205,Table2[],8,FALSE)</f>
        <v>0</v>
      </c>
      <c r="E205" t="str">
        <f>VLOOKUP(A205,Table2[],4,FALSE)</f>
        <v>VPN</v>
      </c>
      <c r="F205" t="str">
        <f>VLOOKUP(A205,Table2[],5,FALSE)</f>
        <v>Hess - Eichwaldstrasse 39 - 6005 Luzern - 102502</v>
      </c>
      <c r="G205" t="s">
        <v>4686</v>
      </c>
      <c r="H205" s="3" t="b">
        <v>1</v>
      </c>
      <c r="I205" s="4" t="s">
        <v>4844</v>
      </c>
    </row>
    <row r="206" spans="1:9" x14ac:dyDescent="0.35">
      <c r="A206">
        <v>102353</v>
      </c>
      <c r="B206" s="2">
        <f>HYPERLINK("https://ipam.lantzerath-group.com/dcim/sites/"&amp;VLOOKUP(A206,Table2[],2,FALSE),VLOOKUP(A206,Table2[],2,FALSE))</f>
        <v>2392</v>
      </c>
      <c r="C206" t="str">
        <f>VLOOKUP(A206,Table2[],3,FALSE)</f>
        <v>Active</v>
      </c>
      <c r="D206">
        <f>VLOOKUP(A206,Table2[],8,FALSE)</f>
        <v>0</v>
      </c>
      <c r="E206" t="str">
        <f>VLOOKUP(A206,Table2[],4,FALSE)</f>
        <v>VPN</v>
      </c>
      <c r="F206" t="str">
        <f>VLOOKUP(A206,Table2[],5,FALSE)</f>
        <v>Garage Lutz AG - Sarganserstrasse 14 - 7310 Bad Ragaz - 102353</v>
      </c>
      <c r="G206" t="s">
        <v>4686</v>
      </c>
      <c r="H206" s="3" t="b">
        <v>1</v>
      </c>
      <c r="I206" s="4" t="s">
        <v>4916</v>
      </c>
    </row>
    <row r="207" spans="1:9" x14ac:dyDescent="0.35">
      <c r="A207">
        <v>102354</v>
      </c>
      <c r="B207" s="2">
        <f>HYPERLINK("https://ipam.lantzerath-group.com/dcim/sites/"&amp;VLOOKUP(A207,Table2[],2,FALSE),VLOOKUP(A207,Table2[],2,FALSE))</f>
        <v>2393</v>
      </c>
      <c r="C207" t="str">
        <f>VLOOKUP(A207,Table2[],3,FALSE)</f>
        <v>Active</v>
      </c>
      <c r="D207">
        <f>VLOOKUP(A207,Table2[],8,FALSE)</f>
        <v>0</v>
      </c>
      <c r="E207" t="str">
        <f>VLOOKUP(A207,Table2[],4,FALSE)</f>
        <v>VPN</v>
      </c>
      <c r="F207" t="str">
        <f>VLOOKUP(A207,Table2[],5,FALSE)</f>
        <v>Garage Lutz AG - Sarganserstrasse 15 - 7310 Bad Ragaz - 102354</v>
      </c>
      <c r="G207" t="s">
        <v>4686</v>
      </c>
      <c r="H207" s="3" t="b">
        <v>1</v>
      </c>
      <c r="I207" s="4" t="s">
        <v>4917</v>
      </c>
    </row>
    <row r="208" spans="1:9" x14ac:dyDescent="0.35">
      <c r="A208">
        <v>103895</v>
      </c>
      <c r="B208" s="2">
        <f>HYPERLINK("https://ipam.lantzerath-group.com/dcim/sites/"&amp;VLOOKUP(A208,Table2[],2,FALSE),VLOOKUP(A208,Table2[],2,FALSE))</f>
        <v>2583</v>
      </c>
      <c r="C208" t="str">
        <f>VLOOKUP(A208,Table2[],3,FALSE)</f>
        <v>Active</v>
      </c>
      <c r="D208">
        <f>VLOOKUP(A208,Table2[],8,FALSE)</f>
        <v>0</v>
      </c>
      <c r="E208" t="str">
        <f>VLOOKUP(A208,Table2[],4,FALSE)</f>
        <v>VPN</v>
      </c>
      <c r="F208" t="str">
        <f>VLOOKUP(A208,Table2[],5,FALSE)</f>
        <v>Garage Wüest AG - Willisauerstr. 24 - 6218 Ettiswil - 103895</v>
      </c>
      <c r="G208" t="s">
        <v>4686</v>
      </c>
      <c r="H208" s="3" t="b">
        <v>1</v>
      </c>
      <c r="I208" s="4" t="s">
        <v>4845</v>
      </c>
    </row>
    <row r="209" spans="1:9" x14ac:dyDescent="0.35">
      <c r="A209">
        <v>103228</v>
      </c>
      <c r="B209" s="2">
        <f>HYPERLINK("https://ipam.lantzerath-group.com/dcim/sites/"&amp;VLOOKUP(A209,Table2[],2,FALSE),VLOOKUP(A209,Table2[],2,FALSE))</f>
        <v>2508</v>
      </c>
      <c r="C209" t="str">
        <f>VLOOKUP(A209,Table2[],3,FALSE)</f>
        <v>Active</v>
      </c>
      <c r="D209">
        <f>VLOOKUP(A209,Table2[],8,FALSE)</f>
        <v>0</v>
      </c>
      <c r="E209" t="str">
        <f>VLOOKUP(A209,Table2[],4,FALSE)</f>
        <v>VPN</v>
      </c>
      <c r="F209" t="str">
        <f>VLOOKUP(A209,Table2[],5,FALSE)</f>
        <v>Gratank AG - Göslikerstrasse 12 - 5524 Niederwil AG - 103228</v>
      </c>
      <c r="G209" t="s">
        <v>4686</v>
      </c>
      <c r="H209" s="3" t="b">
        <v>1</v>
      </c>
      <c r="I209" s="4" t="s">
        <v>4918</v>
      </c>
    </row>
    <row r="210" spans="1:9" x14ac:dyDescent="0.35">
      <c r="A210">
        <v>101737</v>
      </c>
      <c r="B210" s="2">
        <f>HYPERLINK("https://ipam.lantzerath-group.com/dcim/sites/"&amp;VLOOKUP(A210,Table2[],2,FALSE),VLOOKUP(A210,Table2[],2,FALSE))</f>
        <v>2282</v>
      </c>
      <c r="C210" t="str">
        <f>VLOOKUP(A210,Table2[],3,FALSE)</f>
        <v>Active</v>
      </c>
      <c r="D210">
        <f>VLOOKUP(A210,Table2[],8,FALSE)</f>
        <v>0</v>
      </c>
      <c r="E210" t="str">
        <f>VLOOKUP(A210,Table2[],4,FALSE)</f>
        <v>VPN</v>
      </c>
      <c r="F210" t="str">
        <f>VLOOKUP(A210,Table2[],5,FALSE)</f>
        <v>Gratank AG - Landstrasse 10 - 5524 Nesselnbach - 101737</v>
      </c>
      <c r="G210" t="s">
        <v>4686</v>
      </c>
      <c r="H210" s="3" t="b">
        <v>1</v>
      </c>
      <c r="I210" s="4" t="s">
        <v>4846</v>
      </c>
    </row>
    <row r="211" spans="1:9" x14ac:dyDescent="0.35">
      <c r="A211">
        <v>102284</v>
      </c>
      <c r="B211" s="2">
        <f>HYPERLINK("https://ipam.lantzerath-group.com/dcim/sites/"&amp;VLOOKUP(A211,Table2[],2,FALSE),VLOOKUP(A211,Table2[],2,FALSE))</f>
        <v>2381</v>
      </c>
      <c r="C211" t="str">
        <f>VLOOKUP(A211,Table2[],3,FALSE)</f>
        <v>Active</v>
      </c>
      <c r="D211">
        <f>VLOOKUP(A211,Table2[],8,FALSE)</f>
        <v>0</v>
      </c>
      <c r="E211" t="str">
        <f>VLOOKUP(A211,Table2[],4,FALSE)</f>
        <v>VPN</v>
      </c>
      <c r="F211" t="str">
        <f>VLOOKUP(A211,Table2[],5,FALSE)</f>
        <v>Garage Schuwey SA - Ancien Comté 105 - 1635 La Tour-de-Trême - 102284</v>
      </c>
      <c r="G211" t="s">
        <v>4686</v>
      </c>
      <c r="H211" s="3" t="b">
        <v>1</v>
      </c>
      <c r="I211" s="4" t="s">
        <v>4927</v>
      </c>
    </row>
    <row r="212" spans="1:9" x14ac:dyDescent="0.35">
      <c r="A212">
        <v>101088</v>
      </c>
      <c r="B212" s="2">
        <f>HYPERLINK("https://ipam.lantzerath-group.com/dcim/sites/"&amp;VLOOKUP(A212,Table2[],2,FALSE),VLOOKUP(A212,Table2[],2,FALSE))</f>
        <v>2237</v>
      </c>
      <c r="C212" t="str">
        <f>VLOOKUP(A212,Table2[],3,FALSE)</f>
        <v>Active</v>
      </c>
      <c r="D212">
        <f>VLOOKUP(A212,Table2[],8,FALSE)</f>
        <v>0</v>
      </c>
      <c r="E212" t="str">
        <f>VLOOKUP(A212,Table2[],4,FALSE)</f>
        <v>VPN</v>
      </c>
      <c r="F212" t="str">
        <f>VLOOKUP(A212,Table2[],5,FALSE)</f>
        <v>Landwirtschaftliche - Rotzenbühlstrasse 3 - 8966 Oberwil-Lieli - 101088</v>
      </c>
      <c r="G212" t="s">
        <v>4686</v>
      </c>
      <c r="H212" s="3" t="b">
        <v>1</v>
      </c>
      <c r="I212" s="4" t="s">
        <v>4928</v>
      </c>
    </row>
    <row r="213" spans="1:9" x14ac:dyDescent="0.35">
      <c r="A213">
        <v>101837</v>
      </c>
      <c r="B213" s="2">
        <f>HYPERLINK("https://ipam.lantzerath-group.com/dcim/sites/"&amp;VLOOKUP(A213,Table2[],2,FALSE),VLOOKUP(A213,Table2[],2,FALSE))</f>
        <v>2296</v>
      </c>
      <c r="C213" t="str">
        <f>VLOOKUP(A213,Table2[],3,FALSE)</f>
        <v>Active</v>
      </c>
      <c r="D213">
        <f>VLOOKUP(A213,Table2[],8,FALSE)</f>
        <v>0</v>
      </c>
      <c r="E213" t="str">
        <f>VLOOKUP(A213,Table2[],4,FALSE)</f>
        <v>VPN</v>
      </c>
      <c r="F213" t="str">
        <f>VLOOKUP(A213,Table2[],5,FALSE)</f>
        <v>TANK  u. TRANK GmbH - Hauptstrasse 13 - 8265 Mammern - 101837</v>
      </c>
      <c r="G213" t="s">
        <v>4686</v>
      </c>
      <c r="H213" s="3" t="b">
        <v>1</v>
      </c>
      <c r="I213" s="4" t="s">
        <v>4847</v>
      </c>
    </row>
    <row r="214" spans="1:9" x14ac:dyDescent="0.35">
      <c r="A214">
        <v>101860</v>
      </c>
      <c r="B214" s="2">
        <f>HYPERLINK("https://ipam.lantzerath-group.com/dcim/sites/"&amp;VLOOKUP(A214,Table2[],2,FALSE),VLOOKUP(A214,Table2[],2,FALSE))</f>
        <v>2306</v>
      </c>
      <c r="C214" t="str">
        <f>VLOOKUP(A214,Table2[],3,FALSE)</f>
        <v>Active</v>
      </c>
      <c r="D214">
        <f>VLOOKUP(A214,Table2[],8,FALSE)</f>
        <v>0</v>
      </c>
      <c r="E214" t="str">
        <f>VLOOKUP(A214,Table2[],4,FALSE)</f>
        <v>VPN</v>
      </c>
      <c r="F214" t="str">
        <f>VLOOKUP(A214,Table2[],5,FALSE)</f>
        <v>Autogesellschaft - Hauptstrasse 11 - 4458 Eptingen - 101860</v>
      </c>
      <c r="G214" t="s">
        <v>4686</v>
      </c>
      <c r="H214" s="3" t="b">
        <v>1</v>
      </c>
      <c r="I214" s="4" t="s">
        <v>4848</v>
      </c>
    </row>
    <row r="215" spans="1:9" x14ac:dyDescent="0.35">
      <c r="A215">
        <v>101709</v>
      </c>
      <c r="B215" s="2">
        <f>HYPERLINK("https://ipam.lantzerath-group.com/dcim/sites/"&amp;VLOOKUP(A215,Table2[],2,FALSE),VLOOKUP(A215,Table2[],2,FALSE))</f>
        <v>2280</v>
      </c>
      <c r="C215" t="str">
        <f>VLOOKUP(A215,Table2[],3,FALSE)</f>
        <v>Active</v>
      </c>
      <c r="D215">
        <f>VLOOKUP(A215,Table2[],8,FALSE)</f>
        <v>0</v>
      </c>
      <c r="E215" t="str">
        <f>VLOOKUP(A215,Table2[],4,FALSE)</f>
        <v>VPN</v>
      </c>
      <c r="F215" t="str">
        <f>VLOOKUP(A215,Table2[],5,FALSE)</f>
        <v>Centre de l'ile SA - Route du vignoble 25 - 2017 Boudry - 101709</v>
      </c>
      <c r="G215" t="s">
        <v>4686</v>
      </c>
      <c r="H215" s="3" t="b">
        <v>1</v>
      </c>
      <c r="I215" s="4" t="s">
        <v>4849</v>
      </c>
    </row>
    <row r="216" spans="1:9" x14ac:dyDescent="0.35">
      <c r="A216">
        <v>102629</v>
      </c>
      <c r="B216" s="2">
        <f>HYPERLINK("https://ipam.lantzerath-group.com/dcim/sites/"&amp;VLOOKUP(A216,Table2[],2,FALSE),VLOOKUP(A216,Table2[],2,FALSE))</f>
        <v>2435</v>
      </c>
      <c r="C216" t="str">
        <f>VLOOKUP(A216,Table2[],3,FALSE)</f>
        <v>Active</v>
      </c>
      <c r="D216">
        <f>VLOOKUP(A216,Table2[],8,FALSE)</f>
        <v>0</v>
      </c>
      <c r="E216" t="str">
        <f>VLOOKUP(A216,Table2[],4,FALSE)</f>
        <v>VPN</v>
      </c>
      <c r="F216" t="str">
        <f>VLOOKUP(A216,Table2[],5,FALSE)</f>
        <v>Bar il Sole - Via Cantonale 45 - 6986 Curio - 102629</v>
      </c>
      <c r="G216" t="s">
        <v>4686</v>
      </c>
      <c r="H216" s="3" t="b">
        <v>1</v>
      </c>
      <c r="I216" s="4" t="s">
        <v>4850</v>
      </c>
    </row>
    <row r="217" spans="1:9" x14ac:dyDescent="0.35">
      <c r="A217">
        <v>103558</v>
      </c>
      <c r="B217" s="2">
        <f>HYPERLINK("https://ipam.lantzerath-group.com/dcim/sites/"&amp;VLOOKUP(A217,Table2[],2,FALSE),VLOOKUP(A217,Table2[],2,FALSE))</f>
        <v>882</v>
      </c>
      <c r="C217" t="str">
        <f>VLOOKUP(A217,Table2[],3,FALSE)</f>
        <v>Active</v>
      </c>
      <c r="D217">
        <f>VLOOKUP(A217,Table2[],8,FALSE)</f>
        <v>0</v>
      </c>
      <c r="E217" t="str">
        <f>VLOOKUP(A217,Table2[],4,FALSE)</f>
        <v>VPN</v>
      </c>
      <c r="F217" t="str">
        <f>VLOOKUP(A217,Table2[],5,FALSE)</f>
        <v>stop+go - Dorfgasse 9 - 3454 Sumiswald - 103558</v>
      </c>
      <c r="G217" t="s">
        <v>4686</v>
      </c>
      <c r="H217" s="3" t="b">
        <v>1</v>
      </c>
      <c r="I217" s="4" t="s">
        <v>4851</v>
      </c>
    </row>
    <row r="218" spans="1:9" x14ac:dyDescent="0.35">
      <c r="A218">
        <v>103104</v>
      </c>
      <c r="B218" s="2">
        <f>HYPERLINK("https://ipam.lantzerath-group.com/dcim/sites/"&amp;VLOOKUP(A218,Table2[],2,FALSE),VLOOKUP(A218,Table2[],2,FALSE))</f>
        <v>2491</v>
      </c>
      <c r="C218" t="str">
        <f>VLOOKUP(A218,Table2[],3,FALSE)</f>
        <v>Active</v>
      </c>
      <c r="D218">
        <f>VLOOKUP(A218,Table2[],8,FALSE)</f>
        <v>0</v>
      </c>
      <c r="E218" t="str">
        <f>VLOOKUP(A218,Table2[],4,FALSE)</f>
        <v>VPN</v>
      </c>
      <c r="F218" t="str">
        <f>VLOOKUP(A218,Table2[],5,FALSE)</f>
        <v>Gredig &amp; Co. AG - Hofstrasse 9A - 7270 Davos Platz - 103104</v>
      </c>
      <c r="G218" t="s">
        <v>4686</v>
      </c>
      <c r="H218" s="3" t="b">
        <v>1</v>
      </c>
      <c r="I218" s="4" t="s">
        <v>4919</v>
      </c>
    </row>
    <row r="219" spans="1:9" x14ac:dyDescent="0.35">
      <c r="A219">
        <v>102266</v>
      </c>
      <c r="B219" s="2">
        <f>HYPERLINK("https://ipam.lantzerath-group.com/dcim/sites/"&amp;VLOOKUP(A219,Table2[],2,FALSE),VLOOKUP(A219,Table2[],2,FALSE))</f>
        <v>2375</v>
      </c>
      <c r="C219" t="str">
        <f>VLOOKUP(A219,Table2[],3,FALSE)</f>
        <v>Active</v>
      </c>
      <c r="D219">
        <f>VLOOKUP(A219,Table2[],8,FALSE)</f>
        <v>0</v>
      </c>
      <c r="E219" t="str">
        <f>VLOOKUP(A219,Table2[],4,FALSE)</f>
        <v>VPN</v>
      </c>
      <c r="F219" t="str">
        <f>VLOOKUP(A219,Table2[],5,FALSE)</f>
        <v>Gredig &amp; Co. AG - Guggerbachstrasse 8 - 7270 Davos Platz - 102266</v>
      </c>
      <c r="G219" t="s">
        <v>4686</v>
      </c>
      <c r="H219" s="3" t="b">
        <v>1</v>
      </c>
      <c r="I219" s="4" t="s">
        <v>4920</v>
      </c>
    </row>
    <row r="220" spans="1:9" x14ac:dyDescent="0.35">
      <c r="A220">
        <v>102546</v>
      </c>
      <c r="B220" s="2">
        <f>HYPERLINK("https://ipam.lantzerath-group.com/dcim/sites/"&amp;VLOOKUP(A220,Table2[],2,FALSE),VLOOKUP(A220,Table2[],2,FALSE))</f>
        <v>2423</v>
      </c>
      <c r="C220" t="str">
        <f>VLOOKUP(A220,Table2[],3,FALSE)</f>
        <v>Active</v>
      </c>
      <c r="D220">
        <f>VLOOKUP(A220,Table2[],8,FALSE)</f>
        <v>0</v>
      </c>
      <c r="E220" t="str">
        <f>VLOOKUP(A220,Table2[],4,FALSE)</f>
        <v>VPN</v>
      </c>
      <c r="F220" t="str">
        <f>VLOOKUP(A220,Table2[],5,FALSE)</f>
        <v>Suisse Petroli SA - Via Cantonale 31 - 6815 Melide - 102546</v>
      </c>
      <c r="G220" t="s">
        <v>4686</v>
      </c>
      <c r="H220" s="3" t="b">
        <v>1</v>
      </c>
      <c r="I220" s="4" t="s">
        <v>4852</v>
      </c>
    </row>
    <row r="221" spans="1:9" x14ac:dyDescent="0.35">
      <c r="A221">
        <v>103233</v>
      </c>
      <c r="B221" s="2">
        <f>HYPERLINK("https://ipam.lantzerath-group.com/dcim/sites/"&amp;VLOOKUP(A221,Table2[],2,FALSE),VLOOKUP(A221,Table2[],2,FALSE))</f>
        <v>2510</v>
      </c>
      <c r="C221" t="str">
        <f>VLOOKUP(A221,Table2[],3,FALSE)</f>
        <v>Active</v>
      </c>
      <c r="D221">
        <f>VLOOKUP(A221,Table2[],8,FALSE)</f>
        <v>0</v>
      </c>
      <c r="E221" t="str">
        <f>VLOOKUP(A221,Table2[],4,FALSE)</f>
        <v>VPN</v>
      </c>
      <c r="F221" t="str">
        <f>VLOOKUP(A221,Table2[],5,FALSE)</f>
        <v>Sport - Motel Zweisimmen AG - Saanenstrasse 15 - 3770 Zweisimmen - 103233</v>
      </c>
      <c r="G221" t="s">
        <v>4686</v>
      </c>
      <c r="H221" s="3" t="b">
        <v>1</v>
      </c>
      <c r="I221" s="4" t="s">
        <v>4853</v>
      </c>
    </row>
    <row r="222" spans="1:9" x14ac:dyDescent="0.35">
      <c r="A222">
        <v>102742</v>
      </c>
      <c r="B222" s="2">
        <f>HYPERLINK("https://ipam.lantzerath-group.com/dcim/sites/"&amp;VLOOKUP(A222,Table2[],2,FALSE),VLOOKUP(A222,Table2[],2,FALSE))</f>
        <v>2454</v>
      </c>
      <c r="C222" t="str">
        <f>VLOOKUP(A222,Table2[],3,FALSE)</f>
        <v>Active</v>
      </c>
      <c r="D222">
        <f>VLOOKUP(A222,Table2[],8,FALSE)</f>
        <v>0</v>
      </c>
      <c r="E222" t="str">
        <f>VLOOKUP(A222,Table2[],4,FALSE)</f>
        <v>VPN</v>
      </c>
      <c r="F222" t="str">
        <f>VLOOKUP(A222,Table2[],5,FALSE)</f>
        <v>Shell Tankstelle - Poststrasse 2 - 7434 Sufers - 102742</v>
      </c>
      <c r="G222" t="s">
        <v>4686</v>
      </c>
      <c r="H222" s="3" t="b">
        <v>1</v>
      </c>
      <c r="I222" s="4" t="s">
        <v>4854</v>
      </c>
    </row>
    <row r="223" spans="1:9" x14ac:dyDescent="0.35">
      <c r="A223">
        <v>102558</v>
      </c>
      <c r="B223" s="2">
        <f>HYPERLINK("https://ipam.lantzerath-group.com/dcim/sites/"&amp;VLOOKUP(A223,Table2[],2,FALSE),VLOOKUP(A223,Table2[],2,FALSE))</f>
        <v>2424</v>
      </c>
      <c r="C223" t="str">
        <f>VLOOKUP(A223,Table2[],3,FALSE)</f>
        <v>Active</v>
      </c>
      <c r="D223">
        <f>VLOOKUP(A223,Table2[],8,FALSE)</f>
        <v>0</v>
      </c>
      <c r="E223" t="str">
        <f>VLOOKUP(A223,Table2[],4,FALSE)</f>
        <v>VPN</v>
      </c>
      <c r="F223" t="str">
        <f>VLOOKUP(A223,Table2[],5,FALSE)</f>
        <v>Monosuisse AG - Gerliswilstrasse 19 - 6021 Emmenbrücke 1 - 102558</v>
      </c>
      <c r="G223" t="s">
        <v>4686</v>
      </c>
      <c r="H223" s="3" t="b">
        <v>1</v>
      </c>
      <c r="I223" s="4" t="s">
        <v>4855</v>
      </c>
    </row>
    <row r="224" spans="1:9" x14ac:dyDescent="0.35">
      <c r="A224">
        <v>103356</v>
      </c>
      <c r="B224" s="2">
        <f>HYPERLINK("https://ipam.lantzerath-group.com/dcim/sites/"&amp;VLOOKUP(A224,Table2[],2,FALSE),VLOOKUP(A224,Table2[],2,FALSE))</f>
        <v>2521</v>
      </c>
      <c r="C224" t="str">
        <f>VLOOKUP(A224,Table2[],3,FALSE)</f>
        <v>Active</v>
      </c>
      <c r="D224">
        <f>VLOOKUP(A224,Table2[],8,FALSE)</f>
        <v>0</v>
      </c>
      <c r="E224" t="str">
        <f>VLOOKUP(A224,Table2[],4,FALSE)</f>
        <v>VPN</v>
      </c>
      <c r="F224" t="str">
        <f>VLOOKUP(A224,Table2[],5,FALSE)</f>
        <v>Ruedi Strub - Garage &amp; Tankstelle - Hauptstrasse 1 - 4448 Läufelfingen - 103356</v>
      </c>
      <c r="G224" t="s">
        <v>4686</v>
      </c>
      <c r="H224" s="3" t="b">
        <v>1</v>
      </c>
      <c r="I224" s="4" t="s">
        <v>4856</v>
      </c>
    </row>
    <row r="225" spans="1:9" x14ac:dyDescent="0.35">
      <c r="A225">
        <v>103811</v>
      </c>
      <c r="B225" s="2">
        <f>HYPERLINK("https://ipam.lantzerath-group.com/dcim/sites/"&amp;VLOOKUP(A225,Table2[],2,FALSE),VLOOKUP(A225,Table2[],2,FALSE))</f>
        <v>2579</v>
      </c>
      <c r="C225" t="str">
        <f>VLOOKUP(A225,Table2[],3,FALSE)</f>
        <v>Active</v>
      </c>
      <c r="D225">
        <f>VLOOKUP(A225,Table2[],8,FALSE)</f>
        <v>0</v>
      </c>
      <c r="E225" t="str">
        <f>VLOOKUP(A225,Table2[],4,FALSE)</f>
        <v>VPN</v>
      </c>
      <c r="F225" t="str">
        <f>VLOOKUP(A225,Table2[],5,FALSE)</f>
        <v>Dorfladen Genossenschaft - Hauptstrasse 205 - 5324 Full-Reuenthal - 103811</v>
      </c>
      <c r="G225" t="s">
        <v>4686</v>
      </c>
      <c r="H225" s="3" t="b">
        <v>1</v>
      </c>
      <c r="I225" s="4" t="s">
        <v>4929</v>
      </c>
    </row>
    <row r="226" spans="1:9" x14ac:dyDescent="0.35">
      <c r="A226">
        <v>104232</v>
      </c>
      <c r="B226" s="2">
        <f>HYPERLINK("https://ipam.lantzerath-group.com/dcim/sites/"&amp;VLOOKUP(A226,Table2[],2,FALSE),VLOOKUP(A226,Table2[],2,FALSE))</f>
        <v>2623</v>
      </c>
      <c r="C226" t="str">
        <f>VLOOKUP(A226,Table2[],3,FALSE)</f>
        <v>Active</v>
      </c>
      <c r="D226">
        <f>VLOOKUP(A226,Table2[],8,FALSE)</f>
        <v>0</v>
      </c>
      <c r="E226" t="str">
        <f>VLOOKUP(A226,Table2[],4,FALSE)</f>
        <v>VPN</v>
      </c>
      <c r="F226" t="str">
        <f>VLOOKUP(A226,Table2[],5,FALSE)</f>
        <v>Gstaad Airport (WEST) - Oeystrasse 29 - 3792 Saanen - 104232</v>
      </c>
      <c r="G226" t="s">
        <v>4686</v>
      </c>
      <c r="H226" s="3" t="b">
        <v>1</v>
      </c>
      <c r="I226" s="4" t="s">
        <v>4857</v>
      </c>
    </row>
    <row r="227" spans="1:9" x14ac:dyDescent="0.35">
      <c r="A227">
        <v>104234</v>
      </c>
      <c r="B227" s="2">
        <f>HYPERLINK("https://ipam.lantzerath-group.com/dcim/sites/"&amp;VLOOKUP(A227,Table2[],2,FALSE),VLOOKUP(A227,Table2[],2,FALSE))</f>
        <v>2624</v>
      </c>
      <c r="C227" t="str">
        <f>VLOOKUP(A227,Table2[],3,FALSE)</f>
        <v>Active</v>
      </c>
      <c r="D227">
        <f>VLOOKUP(A227,Table2[],8,FALSE)</f>
        <v>0</v>
      </c>
      <c r="E227" t="str">
        <f>VLOOKUP(A227,Table2[],4,FALSE)</f>
        <v>VPN</v>
      </c>
      <c r="F227" t="str">
        <f>VLOOKUP(A227,Table2[],5,FALSE)</f>
        <v>Gstaad Airport (OST) - Oeystrasse 29 - 3792 Saanen - 104234</v>
      </c>
      <c r="G227" t="s">
        <v>4686</v>
      </c>
      <c r="H227" s="3" t="b">
        <v>1</v>
      </c>
      <c r="I227" s="4" t="s">
        <v>4858</v>
      </c>
    </row>
    <row r="228" spans="1:9" x14ac:dyDescent="0.35">
      <c r="A228">
        <v>102464</v>
      </c>
      <c r="B228" s="2">
        <f>HYPERLINK("https://ipam.lantzerath-group.com/dcim/sites/"&amp;VLOOKUP(A228,Table2[],2,FALSE),VLOOKUP(A228,Table2[],2,FALSE))</f>
        <v>2410</v>
      </c>
      <c r="C228" t="str">
        <f>VLOOKUP(A228,Table2[],3,FALSE)</f>
        <v>Active</v>
      </c>
      <c r="D228">
        <f>VLOOKUP(A228,Table2[],8,FALSE)</f>
        <v>0</v>
      </c>
      <c r="E228" t="str">
        <f>VLOOKUP(A228,Table2[],4,FALSE)</f>
        <v>VPN</v>
      </c>
      <c r="F228" t="str">
        <f>VLOOKUP(A228,Table2[],5,FALSE)</f>
        <v>Pizol-Garage - Sarganserstrasse 78 - 8887 Mels - 102464</v>
      </c>
      <c r="G228" t="s">
        <v>4686</v>
      </c>
      <c r="H228" s="3" t="b">
        <v>1</v>
      </c>
      <c r="I228" s="4" t="s">
        <v>4859</v>
      </c>
    </row>
    <row r="229" spans="1:9" x14ac:dyDescent="0.35">
      <c r="A229">
        <v>101673</v>
      </c>
      <c r="B229" s="2">
        <f>HYPERLINK("https://ipam.lantzerath-group.com/dcim/sites/"&amp;VLOOKUP(A229,Table2[],2,FALSE),VLOOKUP(A229,Table2[],2,FALSE))</f>
        <v>2278</v>
      </c>
      <c r="C229" t="str">
        <f>VLOOKUP(A229,Table2[],3,FALSE)</f>
        <v>Active</v>
      </c>
      <c r="D229">
        <f>VLOOKUP(A229,Table2[],8,FALSE)</f>
        <v>0</v>
      </c>
      <c r="E229" t="str">
        <f>VLOOKUP(A229,Table2[],4,FALSE)</f>
        <v>VPN</v>
      </c>
      <c r="F229" t="str">
        <f>VLOOKUP(A229,Table2[],5,FALSE)</f>
        <v>Kreuz-Garage Willisau AG - Ettiswilerstrasse 10 - 6130 Willisau - 101673</v>
      </c>
      <c r="G229" t="s">
        <v>4686</v>
      </c>
      <c r="H229" s="3" t="b">
        <v>1</v>
      </c>
      <c r="I229" s="4" t="s">
        <v>4860</v>
      </c>
    </row>
    <row r="230" spans="1:9" x14ac:dyDescent="0.35">
      <c r="A230">
        <v>103599</v>
      </c>
      <c r="B230" s="2">
        <f>HYPERLINK("https://ipam.lantzerath-group.com/dcim/sites/"&amp;VLOOKUP(A230,Table2[],2,FALSE),VLOOKUP(A230,Table2[],2,FALSE))</f>
        <v>2548</v>
      </c>
      <c r="C230" t="str">
        <f>VLOOKUP(A230,Table2[],3,FALSE)</f>
        <v>Active</v>
      </c>
      <c r="D230">
        <f>VLOOKUP(A230,Table2[],8,FALSE)</f>
        <v>0</v>
      </c>
      <c r="E230" t="str">
        <f>VLOOKUP(A230,Table2[],4,FALSE)</f>
        <v>VPN</v>
      </c>
      <c r="F230" t="str">
        <f>VLOOKUP(A230,Table2[],5,FALSE)</f>
        <v>Franz Obrist AG - Hauptstrasse 36 - 8376 Fischingen - 103599</v>
      </c>
      <c r="G230" t="s">
        <v>4686</v>
      </c>
      <c r="H230" s="3" t="b">
        <v>1</v>
      </c>
      <c r="I230" s="4" t="s">
        <v>4861</v>
      </c>
    </row>
    <row r="231" spans="1:9" x14ac:dyDescent="0.35">
      <c r="A231">
        <v>102778</v>
      </c>
      <c r="B231" s="2">
        <f>HYPERLINK("https://ipam.lantzerath-group.com/dcim/sites/"&amp;VLOOKUP(A231,Table2[],2,FALSE),VLOOKUP(A231,Table2[],2,FALSE))</f>
        <v>2465</v>
      </c>
      <c r="C231" t="str">
        <f>VLOOKUP(A231,Table2[],3,FALSE)</f>
        <v>Active</v>
      </c>
      <c r="D231">
        <f>VLOOKUP(A231,Table2[],8,FALSE)</f>
        <v>0</v>
      </c>
      <c r="E231" t="str">
        <f>VLOOKUP(A231,Table2[],4,FALSE)</f>
        <v>VPN</v>
      </c>
      <c r="F231" t="str">
        <f>VLOOKUP(A231,Table2[],5,FALSE)</f>
        <v>Garage Adam - Ahornstrasse 26 - 4952 Eriswil - 102778</v>
      </c>
      <c r="G231" t="s">
        <v>4686</v>
      </c>
      <c r="H231" s="3" t="b">
        <v>1</v>
      </c>
      <c r="I231" s="4" t="s">
        <v>4862</v>
      </c>
    </row>
    <row r="232" spans="1:9" x14ac:dyDescent="0.35">
      <c r="A232">
        <v>103787</v>
      </c>
      <c r="B232" s="2">
        <f>HYPERLINK("https://ipam.lantzerath-group.com/dcim/sites/"&amp;VLOOKUP(A232,Table2[],2,FALSE),VLOOKUP(A232,Table2[],2,FALSE))</f>
        <v>2576</v>
      </c>
      <c r="C232" t="str">
        <f>VLOOKUP(A232,Table2[],3,FALSE)</f>
        <v>Active</v>
      </c>
      <c r="D232">
        <f>VLOOKUP(A232,Table2[],8,FALSE)</f>
        <v>0</v>
      </c>
      <c r="E232" t="str">
        <f>VLOOKUP(A232,Table2[],4,FALSE)</f>
        <v>VPN</v>
      </c>
      <c r="F232" t="str">
        <f>VLOOKUP(A232,Table2[],5,FALSE)</f>
        <v>Zaugg &amp; Co. - Dorf - 4942 Walterswil - 103787</v>
      </c>
      <c r="G232" t="s">
        <v>4686</v>
      </c>
      <c r="H232" s="3" t="b">
        <v>1</v>
      </c>
      <c r="I232" s="4" t="s">
        <v>4863</v>
      </c>
    </row>
    <row r="233" spans="1:9" x14ac:dyDescent="0.35">
      <c r="A233">
        <v>102276</v>
      </c>
      <c r="B233" s="2">
        <f>HYPERLINK("https://ipam.lantzerath-group.com/dcim/sites/"&amp;VLOOKUP(A233,Table2[],2,FALSE),VLOOKUP(A233,Table2[],2,FALSE))</f>
        <v>2377</v>
      </c>
      <c r="C233" t="str">
        <f>VLOOKUP(A233,Table2[],3,FALSE)</f>
        <v>Active</v>
      </c>
      <c r="D233">
        <f>VLOOKUP(A233,Table2[],8,FALSE)</f>
        <v>0</v>
      </c>
      <c r="E233" t="str">
        <f>VLOOKUP(A233,Table2[],4,FALSE)</f>
        <v>VPN</v>
      </c>
      <c r="F233" t="str">
        <f>VLOOKUP(A233,Table2[],5,FALSE)</f>
        <v>Garage Cäsar GmbH - Surbtalstrasse 2 - 5304 Endingen - 102276</v>
      </c>
      <c r="G233" t="s">
        <v>4686</v>
      </c>
      <c r="H233" s="3" t="b">
        <v>1</v>
      </c>
      <c r="I233" s="4" t="s">
        <v>4864</v>
      </c>
    </row>
    <row r="234" spans="1:9" x14ac:dyDescent="0.35">
      <c r="A234">
        <v>102212</v>
      </c>
      <c r="B234" s="2">
        <f>HYPERLINK("https://ipam.lantzerath-group.com/dcim/sites/"&amp;VLOOKUP(A234,Table2[],2,FALSE),VLOOKUP(A234,Table2[],2,FALSE))</f>
        <v>2365</v>
      </c>
      <c r="C234" t="str">
        <f>VLOOKUP(A234,Table2[],3,FALSE)</f>
        <v>Active</v>
      </c>
      <c r="D234">
        <f>VLOOKUP(A234,Table2[],8,FALSE)</f>
        <v>0</v>
      </c>
      <c r="E234" t="str">
        <f>VLOOKUP(A234,Table2[],4,FALSE)</f>
        <v>VPN</v>
      </c>
      <c r="F234" t="str">
        <f>VLOOKUP(A234,Table2[],5,FALSE)</f>
        <v>Auto Walser AG - Bahnhofstrasse 56 - Wangs - 102212</v>
      </c>
      <c r="G234" t="s">
        <v>4686</v>
      </c>
      <c r="H234" s="3" t="b">
        <v>1</v>
      </c>
      <c r="I234" s="4" t="s">
        <v>4865</v>
      </c>
    </row>
    <row r="235" spans="1:9" x14ac:dyDescent="0.35">
      <c r="A235">
        <v>103711</v>
      </c>
      <c r="B235" s="2">
        <f>HYPERLINK("https://ipam.lantzerath-group.com/dcim/sites/"&amp;VLOOKUP(A235,Table2[],2,FALSE),VLOOKUP(A235,Table2[],2,FALSE))</f>
        <v>2559</v>
      </c>
      <c r="C235" t="str">
        <f>VLOOKUP(A235,Table2[],3,FALSE)</f>
        <v>Active</v>
      </c>
      <c r="D235">
        <f>VLOOKUP(A235,Table2[],8,FALSE)</f>
        <v>0</v>
      </c>
      <c r="E235" t="str">
        <f>VLOOKUP(A235,Table2[],4,FALSE)</f>
        <v>VPN</v>
      </c>
      <c r="F235" t="str">
        <f>VLOOKUP(A235,Table2[],5,FALSE)</f>
        <v>Suisse Petroli SA - Via Cantonale 130 - 6998 Monteggio - 103711</v>
      </c>
      <c r="G235" t="s">
        <v>4686</v>
      </c>
      <c r="H235" s="3" t="b">
        <v>1</v>
      </c>
      <c r="I235" s="4" t="s">
        <v>4866</v>
      </c>
    </row>
    <row r="236" spans="1:9" x14ac:dyDescent="0.35">
      <c r="A236">
        <v>101172</v>
      </c>
      <c r="B236" s="2">
        <f>HYPERLINK("https://ipam.lantzerath-group.com/dcim/sites/"&amp;VLOOKUP(A236,Table2[],2,FALSE),VLOOKUP(A236,Table2[],2,FALSE))</f>
        <v>2243</v>
      </c>
      <c r="C236" t="str">
        <f>VLOOKUP(A236,Table2[],3,FALSE)</f>
        <v>Active</v>
      </c>
      <c r="D236">
        <f>VLOOKUP(A236,Table2[],8,FALSE)</f>
        <v>0</v>
      </c>
      <c r="E236" t="str">
        <f>VLOOKUP(A236,Table2[],4,FALSE)</f>
        <v>VPN</v>
      </c>
      <c r="F236" t="str">
        <f>VLOOKUP(A236,Table2[],5,FALSE)</f>
        <v>Karrosserie Kofler AG - Wagenhauserstrasse 37 - 8260 Stein am Rhein - 101172</v>
      </c>
      <c r="G236" t="s">
        <v>4686</v>
      </c>
      <c r="H236" s="3" t="b">
        <v>1</v>
      </c>
      <c r="I236" s="4" t="s">
        <v>4921</v>
      </c>
    </row>
    <row r="237" spans="1:9" x14ac:dyDescent="0.35">
      <c r="A237">
        <v>101187</v>
      </c>
      <c r="B237" s="2">
        <f>HYPERLINK("https://ipam.lantzerath-group.com/dcim/sites/"&amp;VLOOKUP(A237,Table2[],2,FALSE),VLOOKUP(A237,Table2[],2,FALSE))</f>
        <v>2248</v>
      </c>
      <c r="C237" t="str">
        <f>VLOOKUP(A237,Table2[],3,FALSE)</f>
        <v>Active</v>
      </c>
      <c r="D237">
        <f>VLOOKUP(A237,Table2[],8,FALSE)</f>
        <v>0</v>
      </c>
      <c r="E237" t="str">
        <f>VLOOKUP(A237,Table2[],4,FALSE)</f>
        <v>VPN</v>
      </c>
      <c r="F237" t="str">
        <f>VLOOKUP(A237,Table2[],5,FALSE)</f>
        <v>Camiga SA - Chemin du Grand-Clos 2 - 1896 Vouvry - 101187</v>
      </c>
      <c r="G237" t="s">
        <v>4686</v>
      </c>
      <c r="H237" s="3" t="b">
        <v>1</v>
      </c>
      <c r="I237" s="4" t="s">
        <v>4867</v>
      </c>
    </row>
    <row r="238" spans="1:9" x14ac:dyDescent="0.35">
      <c r="A238">
        <v>102390</v>
      </c>
      <c r="B238" s="2">
        <f>HYPERLINK("https://ipam.lantzerath-group.com/dcim/sites/"&amp;VLOOKUP(A238,Table2[],2,FALSE),VLOOKUP(A238,Table2[],2,FALSE))</f>
        <v>2399</v>
      </c>
      <c r="C238" t="str">
        <f>VLOOKUP(A238,Table2[],3,FALSE)</f>
        <v>Active</v>
      </c>
      <c r="D238">
        <f>VLOOKUP(A238,Table2[],8,FALSE)</f>
        <v>0</v>
      </c>
      <c r="E238" t="str">
        <f>VLOOKUP(A238,Table2[],4,FALSE)</f>
        <v>VPN</v>
      </c>
      <c r="F238" t="str">
        <f>VLOOKUP(A238,Table2[],5,FALSE)</f>
        <v>Gachnang Automobiles - Chemin des Lieugex 4 - 1860 Aigle - 102390</v>
      </c>
      <c r="G238" t="s">
        <v>4686</v>
      </c>
      <c r="H238" s="3" t="b">
        <v>1</v>
      </c>
      <c r="I238" s="4" t="s">
        <v>4868</v>
      </c>
    </row>
    <row r="239" spans="1:9" x14ac:dyDescent="0.35">
      <c r="A239">
        <v>102036</v>
      </c>
      <c r="B239" s="2">
        <f>HYPERLINK("https://ipam.lantzerath-group.com/dcim/sites/"&amp;VLOOKUP(A239,Table2[],2,FALSE),VLOOKUP(A239,Table2[],2,FALSE))</f>
        <v>2344</v>
      </c>
      <c r="C239" t="str">
        <f>VLOOKUP(A239,Table2[],3,FALSE)</f>
        <v>Active</v>
      </c>
      <c r="D239">
        <f>VLOOKUP(A239,Table2[],8,FALSE)</f>
        <v>0</v>
      </c>
      <c r="E239" t="str">
        <f>VLOOKUP(A239,Table2[],4,FALSE)</f>
        <v>VPN</v>
      </c>
      <c r="F239" t="str">
        <f>VLOOKUP(A239,Table2[],5,FALSE)</f>
        <v>Garage Braun - Bleicheweg 7 - 3550 Langnau i. E. - 102036</v>
      </c>
      <c r="G239" t="s">
        <v>4686</v>
      </c>
      <c r="H239" s="3" t="b">
        <v>1</v>
      </c>
      <c r="I239" s="4" t="s">
        <v>4936</v>
      </c>
    </row>
    <row r="240" spans="1:9" x14ac:dyDescent="0.35">
      <c r="A240">
        <v>104305</v>
      </c>
      <c r="B240" s="2">
        <f>HYPERLINK("https://ipam.lantzerath-group.com/dcim/sites/"&amp;VLOOKUP(A240,Table2[],2,FALSE),VLOOKUP(A240,Table2[],2,FALSE))</f>
        <v>2642</v>
      </c>
      <c r="C240" t="str">
        <f>VLOOKUP(A240,Table2[],3,FALSE)</f>
        <v>Active</v>
      </c>
      <c r="D240">
        <f>VLOOKUP(A240,Table2[],8,FALSE)</f>
        <v>0</v>
      </c>
      <c r="E240" t="str">
        <f>VLOOKUP(A240,Table2[],4,FALSE)</f>
        <v>VPN</v>
      </c>
      <c r="F240" t="str">
        <f>VLOOKUP(A240,Table2[],5,FALSE)</f>
        <v>Tankstelle Luchsoil - 104305</v>
      </c>
      <c r="G240" t="s">
        <v>4686</v>
      </c>
      <c r="H240" s="3" t="b">
        <v>1</v>
      </c>
      <c r="I240" s="4" t="s">
        <v>4895</v>
      </c>
    </row>
    <row r="241" spans="1:9" x14ac:dyDescent="0.35">
      <c r="A241">
        <v>102473</v>
      </c>
      <c r="B241" s="2">
        <f>HYPERLINK("https://ipam.lantzerath-group.com/dcim/sites/"&amp;VLOOKUP(A241,Table2[],2,FALSE),VLOOKUP(A241,Table2[],2,FALSE))</f>
        <v>2411</v>
      </c>
      <c r="C241" t="str">
        <f>VLOOKUP(A241,Table2[],3,FALSE)</f>
        <v>Active</v>
      </c>
      <c r="D241">
        <f>VLOOKUP(A241,Table2[],8,FALSE)</f>
        <v>0</v>
      </c>
      <c r="E241" t="str">
        <f>VLOOKUP(A241,Table2[],4,FALSE)</f>
        <v>VPN</v>
      </c>
      <c r="F241" t="str">
        <f>VLOOKUP(A241,Table2[],5,FALSE)</f>
        <v>Klopfstein AG - Neueneggstrasse 10 - 3177 Laupen - 102473</v>
      </c>
      <c r="G241" t="s">
        <v>4686</v>
      </c>
      <c r="H241" s="3" t="b">
        <v>1</v>
      </c>
      <c r="I241" s="4" t="s">
        <v>4869</v>
      </c>
    </row>
    <row r="242" spans="1:9" x14ac:dyDescent="0.35">
      <c r="A242">
        <v>102181</v>
      </c>
      <c r="B242" s="2">
        <f>HYPERLINK("https://ipam.lantzerath-group.com/dcim/sites/"&amp;VLOOKUP(A242,Table2[],2,FALSE),VLOOKUP(A242,Table2[],2,FALSE))</f>
        <v>2361</v>
      </c>
      <c r="C242" t="str">
        <f>VLOOKUP(A242,Table2[],3,FALSE)</f>
        <v>Active</v>
      </c>
      <c r="D242">
        <f>VLOOKUP(A242,Table2[],8,FALSE)</f>
        <v>0</v>
      </c>
      <c r="E242" t="str">
        <f>VLOOKUP(A242,Table2[],4,FALSE)</f>
        <v>VPN</v>
      </c>
      <c r="F242" t="str">
        <f>VLOOKUP(A242,Table2[],5,FALSE)</f>
        <v>Garage de Nendaz - Rue des Ecluses 9 - 1997 Haute-Nendaz - 102181</v>
      </c>
      <c r="G242" t="s">
        <v>4686</v>
      </c>
      <c r="H242" s="3" t="b">
        <v>1</v>
      </c>
      <c r="I242" s="4" t="s">
        <v>4930</v>
      </c>
    </row>
    <row r="243" spans="1:9" x14ac:dyDescent="0.35">
      <c r="A243">
        <v>102795</v>
      </c>
      <c r="B243" s="2">
        <f>HYPERLINK("https://ipam.lantzerath-group.com/dcim/sites/"&amp;VLOOKUP(A243,Table2[],2,FALSE),VLOOKUP(A243,Table2[],2,FALSE))</f>
        <v>2468</v>
      </c>
      <c r="C243" t="str">
        <f>VLOOKUP(A243,Table2[],3,FALSE)</f>
        <v>Active</v>
      </c>
      <c r="D243">
        <f>VLOOKUP(A243,Table2[],8,FALSE)</f>
        <v>0</v>
      </c>
      <c r="E243" t="str">
        <f>VLOOKUP(A243,Table2[],4,FALSE)</f>
        <v>VPN</v>
      </c>
      <c r="F243" t="str">
        <f>VLOOKUP(A243,Table2[],5,FALSE)</f>
        <v>Lischana Garage - Via da la Staziun - 7550 Scuol - 102795</v>
      </c>
      <c r="G243" t="s">
        <v>4686</v>
      </c>
      <c r="H243" s="3" t="b">
        <v>1</v>
      </c>
      <c r="I243" s="4" t="s">
        <v>4870</v>
      </c>
    </row>
    <row r="244" spans="1:9" x14ac:dyDescent="0.35">
      <c r="A244">
        <v>102853</v>
      </c>
      <c r="B244" s="2">
        <f>HYPERLINK("https://ipam.lantzerath-group.com/dcim/sites/"&amp;VLOOKUP(A244,Table2[],2,FALSE),VLOOKUP(A244,Table2[],2,FALSE))</f>
        <v>2474</v>
      </c>
      <c r="C244" t="str">
        <f>VLOOKUP(A244,Table2[],3,FALSE)</f>
        <v>Active</v>
      </c>
      <c r="D244">
        <f>VLOOKUP(A244,Table2[],8,FALSE)</f>
        <v>0</v>
      </c>
      <c r="E244" t="str">
        <f>VLOOKUP(A244,Table2[],4,FALSE)</f>
        <v>VPN</v>
      </c>
      <c r="F244" t="str">
        <f>VLOOKUP(A244,Table2[],5,FALSE)</f>
        <v>Comune di Onsernone - Seghelina 2 - 6661 Auressio - 102853</v>
      </c>
      <c r="G244" t="s">
        <v>4686</v>
      </c>
      <c r="H244" s="3" t="b">
        <v>1</v>
      </c>
      <c r="I244" s="4" t="s">
        <v>4871</v>
      </c>
    </row>
    <row r="245" spans="1:9" x14ac:dyDescent="0.35">
      <c r="A245">
        <v>102435</v>
      </c>
      <c r="B245" s="2">
        <f>HYPERLINK("https://ipam.lantzerath-group.com/dcim/sites/"&amp;VLOOKUP(A245,Table2[],2,FALSE),VLOOKUP(A245,Table2[],2,FALSE))</f>
        <v>2403</v>
      </c>
      <c r="C245" t="str">
        <f>VLOOKUP(A245,Table2[],3,FALSE)</f>
        <v>Active</v>
      </c>
      <c r="D245">
        <f>VLOOKUP(A245,Table2[],8,FALSE)</f>
        <v>0</v>
      </c>
      <c r="E245" t="str">
        <f>VLOOKUP(A245,Table2[],4,FALSE)</f>
        <v>VPN</v>
      </c>
      <c r="F245" t="str">
        <f>VLOOKUP(A245,Table2[],5,FALSE)</f>
        <v>AG vorm Hofer &amp; Cie. - Frikartstrasse 8 - 4800 Zofingen - 102435</v>
      </c>
      <c r="G245" t="s">
        <v>4686</v>
      </c>
      <c r="H245" s="3" t="b">
        <v>1</v>
      </c>
      <c r="I245" s="4" t="s">
        <v>4872</v>
      </c>
    </row>
    <row r="246" spans="1:9" x14ac:dyDescent="0.35">
      <c r="A246">
        <v>103036</v>
      </c>
      <c r="B246" s="2">
        <f>HYPERLINK("https://ipam.lantzerath-group.com/dcim/sites/"&amp;VLOOKUP(A246,Table2[],2,FALSE),VLOOKUP(A246,Table2[],2,FALSE))</f>
        <v>2480</v>
      </c>
      <c r="C246" t="str">
        <f>VLOOKUP(A246,Table2[],3,FALSE)</f>
        <v>Active</v>
      </c>
      <c r="D246">
        <f>VLOOKUP(A246,Table2[],8,FALSE)</f>
        <v>0</v>
      </c>
      <c r="E246" t="str">
        <f>VLOOKUP(A246,Table2[],4,FALSE)</f>
        <v>VPN</v>
      </c>
      <c r="F246" t="str">
        <f>VLOOKUP(A246,Table2[],5,FALSE)</f>
        <v>Daetwyler Management AG - Flugplatz - 3368 Bleienbach - 103036</v>
      </c>
      <c r="G246" t="s">
        <v>4686</v>
      </c>
      <c r="H246" s="3" t="b">
        <v>1</v>
      </c>
      <c r="I246" s="4" t="s">
        <v>4873</v>
      </c>
    </row>
    <row r="247" spans="1:9" x14ac:dyDescent="0.35">
      <c r="A247">
        <v>102262</v>
      </c>
      <c r="B247" s="2">
        <f>HYPERLINK("https://ipam.lantzerath-group.com/dcim/sites/"&amp;VLOOKUP(A247,Table2[],2,FALSE),VLOOKUP(A247,Table2[],2,FALSE))</f>
        <v>2373</v>
      </c>
      <c r="C247" t="str">
        <f>VLOOKUP(A247,Table2[],3,FALSE)</f>
        <v>Active</v>
      </c>
      <c r="D247">
        <f>VLOOKUP(A247,Table2[],8,FALSE)</f>
        <v>0</v>
      </c>
      <c r="E247" t="str">
        <f>VLOOKUP(A247,Table2[],4,FALSE)</f>
        <v>VPN</v>
      </c>
      <c r="F247" t="str">
        <f>VLOOKUP(A247,Table2[],5,FALSE)</f>
        <v>J. Felber &amp; Co AG - Oberurnerstrasse 2 - 8752 Näfels - 102262</v>
      </c>
      <c r="G247" t="s">
        <v>4686</v>
      </c>
      <c r="H247" s="3" t="b">
        <v>1</v>
      </c>
      <c r="I247" s="4" t="s">
        <v>4874</v>
      </c>
    </row>
    <row r="248" spans="1:9" x14ac:dyDescent="0.35">
      <c r="A248">
        <v>101965</v>
      </c>
      <c r="B248" s="2">
        <f>HYPERLINK("https://ipam.lantzerath-group.com/dcim/sites/"&amp;VLOOKUP(A248,Table2[],2,FALSE),VLOOKUP(A248,Table2[],2,FALSE))</f>
        <v>2334</v>
      </c>
      <c r="C248" t="str">
        <f>VLOOKUP(A248,Table2[],3,FALSE)</f>
        <v>Active</v>
      </c>
      <c r="D248">
        <f>VLOOKUP(A248,Table2[],8,FALSE)</f>
        <v>0</v>
      </c>
      <c r="E248" t="str">
        <f>VLOOKUP(A248,Table2[],4,FALSE)</f>
        <v>VPN</v>
      </c>
      <c r="F248" t="str">
        <f>VLOOKUP(A248,Table2[],5,FALSE)</f>
        <v>Ronner Nutzfahrzeuge AG - St. Gallerstrasse 51 - 8856 Tuggen - 101965</v>
      </c>
      <c r="G248" t="s">
        <v>4686</v>
      </c>
      <c r="H248" s="3" t="b">
        <v>1</v>
      </c>
      <c r="I248" s="4" t="s">
        <v>4875</v>
      </c>
    </row>
    <row r="249" spans="1:9" x14ac:dyDescent="0.35">
      <c r="A249">
        <v>101763</v>
      </c>
      <c r="B249" s="2">
        <f>HYPERLINK("https://ipam.lantzerath-group.com/dcim/sites/"&amp;VLOOKUP(A249,Table2[],2,FALSE),VLOOKUP(A249,Table2[],2,FALSE))</f>
        <v>2286</v>
      </c>
      <c r="C249" t="str">
        <f>VLOOKUP(A249,Table2[],3,FALSE)</f>
        <v>Active</v>
      </c>
      <c r="D249">
        <f>VLOOKUP(A249,Table2[],8,FALSE)</f>
        <v>0</v>
      </c>
      <c r="E249" t="str">
        <f>VLOOKUP(A249,Table2[],4,FALSE)</f>
        <v>VPN</v>
      </c>
      <c r="F249" t="str">
        <f>VLOOKUP(A249,Table2[],5,FALSE)</f>
        <v>Settelen AG - Birkenstrasse 5 - 4055 Basel - 101763</v>
      </c>
      <c r="G249" t="s">
        <v>4686</v>
      </c>
      <c r="H249" s="3" t="b">
        <v>1</v>
      </c>
      <c r="I249" s="4" t="s">
        <v>4876</v>
      </c>
    </row>
    <row r="250" spans="1:9" x14ac:dyDescent="0.35">
      <c r="A250">
        <v>103976</v>
      </c>
      <c r="B250" s="2">
        <f>HYPERLINK("https://ipam.lantzerath-group.com/dcim/sites/"&amp;VLOOKUP(A250,Table2[],2,FALSE),VLOOKUP(A250,Table2[],2,FALSE))</f>
        <v>2589</v>
      </c>
      <c r="C250" t="str">
        <f>VLOOKUP(A250,Table2[],3,FALSE)</f>
        <v>Active</v>
      </c>
      <c r="D250">
        <f>VLOOKUP(A250,Table2[],8,FALSE)</f>
        <v>0</v>
      </c>
      <c r="E250" t="str">
        <f>VLOOKUP(A250,Table2[],4,FALSE)</f>
        <v>VPN</v>
      </c>
      <c r="F250" t="str">
        <f>VLOOKUP(A250,Table2[],5,FALSE)</f>
        <v>Z-Oil GmbH - Hauptstrasse 75B- 8362 Balterswil - 103976</v>
      </c>
      <c r="G250" t="s">
        <v>4686</v>
      </c>
      <c r="H250" s="3" t="b">
        <v>1</v>
      </c>
      <c r="I250" s="4" t="s">
        <v>4877</v>
      </c>
    </row>
    <row r="251" spans="1:9" x14ac:dyDescent="0.35">
      <c r="A251">
        <v>102288</v>
      </c>
      <c r="B251" s="2">
        <f>HYPERLINK("https://ipam.lantzerath-group.com/dcim/sites/"&amp;VLOOKUP(A251,Table2[],2,FALSE),VLOOKUP(A251,Table2[],2,FALSE))</f>
        <v>2383</v>
      </c>
      <c r="C251" t="str">
        <f>VLOOKUP(A251,Table2[],3,FALSE)</f>
        <v>Active</v>
      </c>
      <c r="D251">
        <f>VLOOKUP(A251,Table2[],8,FALSE)</f>
        <v>0</v>
      </c>
      <c r="E251" t="str">
        <f>VLOOKUP(A251,Table2[],4,FALSE)</f>
        <v>VPN</v>
      </c>
      <c r="F251" t="str">
        <f>VLOOKUP(A251,Table2[],5,FALSE)</f>
        <v>Pilatus Flugzeugwerke AG - Ennetbürgenstrasse 101 - 6371 Stans - 102288</v>
      </c>
      <c r="G251" t="s">
        <v>4686</v>
      </c>
      <c r="H251" s="3" t="b">
        <v>1</v>
      </c>
      <c r="I251" s="4" t="s">
        <v>4878</v>
      </c>
    </row>
    <row r="252" spans="1:9" x14ac:dyDescent="0.35">
      <c r="A252">
        <v>101125</v>
      </c>
      <c r="B252" s="2">
        <f>HYPERLINK("https://ipam.lantzerath-group.com/dcim/sites/"&amp;VLOOKUP(A252,Table2[],2,FALSE),VLOOKUP(A252,Table2[],2,FALSE))</f>
        <v>2241</v>
      </c>
      <c r="C252" t="str">
        <f>VLOOKUP(A252,Table2[],3,FALSE)</f>
        <v>Active</v>
      </c>
      <c r="D252">
        <f>VLOOKUP(A252,Table2[],8,FALSE)</f>
        <v>0</v>
      </c>
      <c r="E252" t="str">
        <f>VLOOKUP(A252,Table2[],4,FALSE)</f>
        <v>VPN</v>
      </c>
      <c r="F252" t="str">
        <f>VLOOKUP(A252,Table2[],5,FALSE)</f>
        <v>Aeby Transporte AG - Nebenzelg 1 - 1717 St. Ursen - 101125</v>
      </c>
      <c r="G252" t="s">
        <v>4686</v>
      </c>
      <c r="H252" s="3" t="b">
        <v>1</v>
      </c>
      <c r="I252" s="4" t="s">
        <v>4935</v>
      </c>
    </row>
  </sheetData>
  <phoneticPr fontId="19" type="noConversion"/>
  <conditionalFormatting sqref="C2:C252">
    <cfRule type="cellIs" dxfId="1" priority="1" operator="notEqual">
      <formula>"Active"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1061C-5A1B-428E-A3B4-BF1CF30DCBA1}">
  <dimension ref="A1:H62"/>
  <sheetViews>
    <sheetView workbookViewId="0">
      <selection activeCell="N42" sqref="N42"/>
    </sheetView>
  </sheetViews>
  <sheetFormatPr defaultRowHeight="14.5" x14ac:dyDescent="0.35"/>
  <cols>
    <col min="1" max="1" width="4.08984375" bestFit="1" customWidth="1"/>
    <col min="2" max="2" width="8.453125" bestFit="1" customWidth="1"/>
    <col min="3" max="3" width="15.453125" bestFit="1" customWidth="1"/>
    <col min="4" max="4" width="18" bestFit="1" customWidth="1"/>
    <col min="5" max="5" width="15.1796875" bestFit="1" customWidth="1"/>
    <col min="6" max="6" width="11.1796875" bestFit="1" customWidth="1"/>
    <col min="7" max="7" width="27.81640625" bestFit="1" customWidth="1"/>
  </cols>
  <sheetData>
    <row r="1" spans="1:8" x14ac:dyDescent="0.35">
      <c r="A1" t="s">
        <v>4320</v>
      </c>
      <c r="B1" t="s">
        <v>6</v>
      </c>
      <c r="C1" t="s">
        <v>588</v>
      </c>
      <c r="D1" t="s">
        <v>4321</v>
      </c>
      <c r="E1" t="s">
        <v>4322</v>
      </c>
      <c r="F1" t="s">
        <v>4323</v>
      </c>
      <c r="G1" t="s">
        <v>4324</v>
      </c>
      <c r="H1" t="s">
        <v>4316</v>
      </c>
    </row>
    <row r="2" spans="1:8" x14ac:dyDescent="0.35">
      <c r="A2">
        <v>1</v>
      </c>
      <c r="C2" t="s">
        <v>4325</v>
      </c>
      <c r="D2" t="s">
        <v>4326</v>
      </c>
      <c r="E2" t="s">
        <v>4327</v>
      </c>
      <c r="F2" t="s">
        <v>4328</v>
      </c>
      <c r="G2" t="s">
        <v>4449</v>
      </c>
      <c r="H2">
        <f>--_xlfn.TEXTBEFORE(_xlfn.TEXTAFTER(Table4[[#This Row],[Name]],"-"),"_")</f>
        <v>104229</v>
      </c>
    </row>
    <row r="3" spans="1:8" x14ac:dyDescent="0.35">
      <c r="A3">
        <v>2</v>
      </c>
      <c r="C3" t="s">
        <v>4329</v>
      </c>
      <c r="D3" t="s">
        <v>4330</v>
      </c>
      <c r="E3" t="s">
        <v>4327</v>
      </c>
      <c r="F3" t="s">
        <v>4328</v>
      </c>
      <c r="G3" t="s">
        <v>4450</v>
      </c>
      <c r="H3">
        <f>--_xlfn.TEXTBEFORE(_xlfn.TEXTAFTER(Table4[[#This Row],[Name]],"-"),"_")</f>
        <v>103172</v>
      </c>
    </row>
    <row r="4" spans="1:8" x14ac:dyDescent="0.35">
      <c r="A4">
        <v>3</v>
      </c>
      <c r="C4" t="s">
        <v>4331</v>
      </c>
      <c r="D4" t="s">
        <v>4332</v>
      </c>
      <c r="E4" t="s">
        <v>4327</v>
      </c>
      <c r="F4" t="s">
        <v>4328</v>
      </c>
      <c r="G4" t="s">
        <v>4451</v>
      </c>
      <c r="H4">
        <f>--_xlfn.TEXTBEFORE(_xlfn.TEXTAFTER(Table4[[#This Row],[Name]],"-"),"_")</f>
        <v>103657</v>
      </c>
    </row>
    <row r="5" spans="1:8" x14ac:dyDescent="0.35">
      <c r="A5">
        <v>4</v>
      </c>
      <c r="C5" t="s">
        <v>4333</v>
      </c>
      <c r="D5" t="s">
        <v>4334</v>
      </c>
      <c r="E5" t="s">
        <v>4327</v>
      </c>
      <c r="F5" t="s">
        <v>4328</v>
      </c>
      <c r="G5" t="s">
        <v>4452</v>
      </c>
      <c r="H5">
        <f>--_xlfn.TEXTBEFORE(_xlfn.TEXTAFTER(Table4[[#This Row],[Name]],"-"),"_")</f>
        <v>101928</v>
      </c>
    </row>
    <row r="6" spans="1:8" x14ac:dyDescent="0.35">
      <c r="A6">
        <v>5</v>
      </c>
      <c r="C6" t="s">
        <v>4335</v>
      </c>
      <c r="D6" t="s">
        <v>4336</v>
      </c>
      <c r="E6" t="s">
        <v>4327</v>
      </c>
      <c r="F6" t="s">
        <v>4328</v>
      </c>
      <c r="G6" t="s">
        <v>4453</v>
      </c>
      <c r="H6">
        <f>--_xlfn.TEXTBEFORE(_xlfn.TEXTAFTER(Table4[[#This Row],[Name]],"-"),"_")</f>
        <v>104323</v>
      </c>
    </row>
    <row r="7" spans="1:8" x14ac:dyDescent="0.35">
      <c r="A7">
        <v>6</v>
      </c>
      <c r="C7" t="s">
        <v>4337</v>
      </c>
      <c r="D7" t="s">
        <v>4338</v>
      </c>
      <c r="E7" t="s">
        <v>4327</v>
      </c>
      <c r="F7" t="s">
        <v>4328</v>
      </c>
      <c r="G7" t="s">
        <v>4454</v>
      </c>
      <c r="H7">
        <f>--_xlfn.TEXTBEFORE(_xlfn.TEXTAFTER(Table4[[#This Row],[Name]],"-"),"_")</f>
        <v>101946</v>
      </c>
    </row>
    <row r="8" spans="1:8" x14ac:dyDescent="0.35">
      <c r="A8">
        <v>7</v>
      </c>
      <c r="C8" t="s">
        <v>4339</v>
      </c>
      <c r="D8" t="s">
        <v>4340</v>
      </c>
      <c r="E8" t="s">
        <v>4327</v>
      </c>
      <c r="F8" t="s">
        <v>4328</v>
      </c>
      <c r="G8" t="s">
        <v>4455</v>
      </c>
      <c r="H8">
        <f>--_xlfn.TEXTBEFORE(_xlfn.TEXTAFTER(Table4[[#This Row],[Name]],"-"),"_")</f>
        <v>101635</v>
      </c>
    </row>
    <row r="9" spans="1:8" x14ac:dyDescent="0.35">
      <c r="A9">
        <v>8</v>
      </c>
      <c r="C9" t="s">
        <v>4341</v>
      </c>
      <c r="D9" t="s">
        <v>4342</v>
      </c>
      <c r="E9" t="s">
        <v>4327</v>
      </c>
      <c r="F9" t="s">
        <v>4328</v>
      </c>
      <c r="G9" t="s">
        <v>4456</v>
      </c>
      <c r="H9">
        <f>--_xlfn.TEXTBEFORE(_xlfn.TEXTAFTER(Table4[[#This Row],[Name]],"-"),"_")</f>
        <v>102278</v>
      </c>
    </row>
    <row r="10" spans="1:8" x14ac:dyDescent="0.35">
      <c r="A10">
        <v>9</v>
      </c>
      <c r="C10" t="s">
        <v>4343</v>
      </c>
      <c r="D10" t="s">
        <v>4344</v>
      </c>
      <c r="E10" t="s">
        <v>4327</v>
      </c>
      <c r="F10" t="s">
        <v>4328</v>
      </c>
      <c r="G10" t="s">
        <v>4457</v>
      </c>
      <c r="H10">
        <f>--_xlfn.TEXTBEFORE(_xlfn.TEXTAFTER(Table4[[#This Row],[Name]],"-"),"_")</f>
        <v>103464</v>
      </c>
    </row>
    <row r="11" spans="1:8" x14ac:dyDescent="0.35">
      <c r="A11">
        <v>10</v>
      </c>
      <c r="C11" t="s">
        <v>4345</v>
      </c>
      <c r="D11" t="s">
        <v>4346</v>
      </c>
      <c r="E11" t="s">
        <v>4327</v>
      </c>
      <c r="F11" t="s">
        <v>4328</v>
      </c>
      <c r="G11" t="s">
        <v>4458</v>
      </c>
      <c r="H11">
        <f>--_xlfn.TEXTBEFORE(_xlfn.TEXTAFTER(Table4[[#This Row],[Name]],"-"),"_")</f>
        <v>102210</v>
      </c>
    </row>
    <row r="12" spans="1:8" x14ac:dyDescent="0.35">
      <c r="A12">
        <v>11</v>
      </c>
      <c r="C12" t="s">
        <v>4347</v>
      </c>
      <c r="D12" t="s">
        <v>4348</v>
      </c>
      <c r="E12" t="s">
        <v>4327</v>
      </c>
      <c r="F12" t="s">
        <v>4328</v>
      </c>
      <c r="G12" t="s">
        <v>4459</v>
      </c>
      <c r="H12">
        <f>--_xlfn.TEXTBEFORE(_xlfn.TEXTAFTER(Table4[[#This Row],[Name]],"-"),"_")</f>
        <v>103537</v>
      </c>
    </row>
    <row r="13" spans="1:8" x14ac:dyDescent="0.35">
      <c r="A13">
        <v>12</v>
      </c>
      <c r="C13" t="s">
        <v>4349</v>
      </c>
      <c r="D13" t="s">
        <v>4350</v>
      </c>
      <c r="E13" t="s">
        <v>4327</v>
      </c>
      <c r="F13" t="s">
        <v>4328</v>
      </c>
      <c r="G13" t="s">
        <v>4460</v>
      </c>
      <c r="H13">
        <f>--_xlfn.TEXTBEFORE(_xlfn.TEXTAFTER(Table4[[#This Row],[Name]],"-"),"_")</f>
        <v>103757</v>
      </c>
    </row>
    <row r="14" spans="1:8" x14ac:dyDescent="0.35">
      <c r="A14">
        <v>13</v>
      </c>
      <c r="C14" t="s">
        <v>4351</v>
      </c>
      <c r="D14" t="s">
        <v>4352</v>
      </c>
      <c r="E14" t="s">
        <v>4327</v>
      </c>
      <c r="F14" t="s">
        <v>4328</v>
      </c>
      <c r="G14" t="s">
        <v>4461</v>
      </c>
      <c r="H14">
        <f>--_xlfn.TEXTBEFORE(_xlfn.TEXTAFTER(Table4[[#This Row],[Name]],"-"),"_")</f>
        <v>103601</v>
      </c>
    </row>
    <row r="15" spans="1:8" x14ac:dyDescent="0.35">
      <c r="A15">
        <v>14</v>
      </c>
      <c r="C15" t="s">
        <v>4353</v>
      </c>
      <c r="D15" t="s">
        <v>4354</v>
      </c>
      <c r="E15" t="s">
        <v>4327</v>
      </c>
      <c r="F15" t="s">
        <v>4328</v>
      </c>
      <c r="G15" t="s">
        <v>4462</v>
      </c>
      <c r="H15">
        <f>--_xlfn.TEXTBEFORE(_xlfn.TEXTAFTER(Table4[[#This Row],[Name]],"-"),"_")</f>
        <v>102162</v>
      </c>
    </row>
    <row r="16" spans="1:8" x14ac:dyDescent="0.35">
      <c r="A16">
        <v>15</v>
      </c>
      <c r="C16" t="s">
        <v>4355</v>
      </c>
      <c r="D16" t="s">
        <v>4356</v>
      </c>
      <c r="E16" t="s">
        <v>4327</v>
      </c>
      <c r="F16" t="s">
        <v>4328</v>
      </c>
      <c r="G16" t="s">
        <v>4463</v>
      </c>
      <c r="H16">
        <f>--_xlfn.TEXTBEFORE(_xlfn.TEXTAFTER(Table4[[#This Row],[Name]],"-"),"_")</f>
        <v>102793</v>
      </c>
    </row>
    <row r="17" spans="1:8" x14ac:dyDescent="0.35">
      <c r="A17">
        <v>16</v>
      </c>
      <c r="C17" t="s">
        <v>4357</v>
      </c>
      <c r="D17" t="s">
        <v>4358</v>
      </c>
      <c r="E17" t="s">
        <v>4327</v>
      </c>
      <c r="F17" t="s">
        <v>4328</v>
      </c>
      <c r="G17" t="s">
        <v>4464</v>
      </c>
      <c r="H17">
        <f>--_xlfn.TEXTBEFORE(_xlfn.TEXTAFTER(Table4[[#This Row],[Name]],"-"),"_")</f>
        <v>101655</v>
      </c>
    </row>
    <row r="18" spans="1:8" x14ac:dyDescent="0.35">
      <c r="A18">
        <v>17</v>
      </c>
      <c r="C18" t="s">
        <v>4359</v>
      </c>
      <c r="D18" t="s">
        <v>4360</v>
      </c>
      <c r="E18" t="s">
        <v>4327</v>
      </c>
      <c r="F18" t="s">
        <v>4328</v>
      </c>
      <c r="G18" t="s">
        <v>4465</v>
      </c>
      <c r="H18">
        <f>--_xlfn.TEXTBEFORE(_xlfn.TEXTAFTER(Table4[[#This Row],[Name]],"-"),"_")</f>
        <v>103781</v>
      </c>
    </row>
    <row r="19" spans="1:8" x14ac:dyDescent="0.35">
      <c r="A19">
        <v>18</v>
      </c>
      <c r="C19" t="s">
        <v>4361</v>
      </c>
      <c r="D19" t="s">
        <v>4362</v>
      </c>
      <c r="E19" t="s">
        <v>4327</v>
      </c>
      <c r="F19" t="s">
        <v>4328</v>
      </c>
      <c r="G19" t="s">
        <v>4466</v>
      </c>
      <c r="H19">
        <f>--_xlfn.TEXTBEFORE(_xlfn.TEXTAFTER(Table4[[#This Row],[Name]],"-"),"_")</f>
        <v>101941</v>
      </c>
    </row>
    <row r="20" spans="1:8" x14ac:dyDescent="0.35">
      <c r="A20">
        <v>19</v>
      </c>
      <c r="C20" t="s">
        <v>4363</v>
      </c>
      <c r="D20" t="s">
        <v>4364</v>
      </c>
      <c r="E20" t="s">
        <v>4327</v>
      </c>
      <c r="F20" t="s">
        <v>4328</v>
      </c>
      <c r="G20" t="s">
        <v>4467</v>
      </c>
      <c r="H20">
        <f>--_xlfn.TEXTBEFORE(_xlfn.TEXTAFTER(Table4[[#This Row],[Name]],"-"),"_")</f>
        <v>102328</v>
      </c>
    </row>
    <row r="21" spans="1:8" x14ac:dyDescent="0.35">
      <c r="A21">
        <v>20</v>
      </c>
      <c r="C21" t="s">
        <v>4365</v>
      </c>
      <c r="D21" t="s">
        <v>4366</v>
      </c>
      <c r="E21" t="s">
        <v>4327</v>
      </c>
      <c r="F21" t="s">
        <v>4328</v>
      </c>
      <c r="G21" t="s">
        <v>4468</v>
      </c>
      <c r="H21">
        <f>--_xlfn.TEXTBEFORE(_xlfn.TEXTAFTER(Table4[[#This Row],[Name]],"-"),"_")</f>
        <v>102285</v>
      </c>
    </row>
    <row r="22" spans="1:8" x14ac:dyDescent="0.35">
      <c r="A22">
        <v>21</v>
      </c>
      <c r="C22" t="s">
        <v>4367</v>
      </c>
      <c r="D22" t="s">
        <v>4368</v>
      </c>
      <c r="E22" t="s">
        <v>4327</v>
      </c>
      <c r="F22" t="s">
        <v>4328</v>
      </c>
      <c r="G22" t="s">
        <v>4469</v>
      </c>
      <c r="H22">
        <f>--_xlfn.TEXTBEFORE(_xlfn.TEXTAFTER(Table4[[#This Row],[Name]],"-"),"_")</f>
        <v>102694</v>
      </c>
    </row>
    <row r="23" spans="1:8" x14ac:dyDescent="0.35">
      <c r="A23">
        <v>22</v>
      </c>
      <c r="C23" t="s">
        <v>4369</v>
      </c>
      <c r="D23" t="s">
        <v>4370</v>
      </c>
      <c r="E23" t="s">
        <v>4327</v>
      </c>
      <c r="F23" t="s">
        <v>4328</v>
      </c>
      <c r="G23" t="s">
        <v>4470</v>
      </c>
      <c r="H23">
        <f>--_xlfn.TEXTBEFORE(_xlfn.TEXTAFTER(Table4[[#This Row],[Name]],"-"),"_")</f>
        <v>102293</v>
      </c>
    </row>
    <row r="24" spans="1:8" x14ac:dyDescent="0.35">
      <c r="A24">
        <v>23</v>
      </c>
      <c r="C24" t="s">
        <v>4371</v>
      </c>
      <c r="D24" t="s">
        <v>4372</v>
      </c>
      <c r="E24" t="s">
        <v>4327</v>
      </c>
      <c r="F24" t="s">
        <v>4328</v>
      </c>
      <c r="G24" t="s">
        <v>4471</v>
      </c>
      <c r="H24">
        <f>--_xlfn.TEXTBEFORE(_xlfn.TEXTAFTER(Table4[[#This Row],[Name]],"-"),"_")</f>
        <v>102362</v>
      </c>
    </row>
    <row r="25" spans="1:8" x14ac:dyDescent="0.35">
      <c r="A25">
        <v>24</v>
      </c>
      <c r="C25" t="s">
        <v>4373</v>
      </c>
      <c r="D25" t="s">
        <v>4374</v>
      </c>
      <c r="E25" t="s">
        <v>4327</v>
      </c>
      <c r="F25" t="s">
        <v>4328</v>
      </c>
      <c r="G25" t="s">
        <v>4472</v>
      </c>
      <c r="H25">
        <f>--_xlfn.TEXTBEFORE(_xlfn.TEXTAFTER(Table4[[#This Row],[Name]],"-"),"_")</f>
        <v>102796</v>
      </c>
    </row>
    <row r="26" spans="1:8" x14ac:dyDescent="0.35">
      <c r="A26">
        <v>25</v>
      </c>
      <c r="C26" t="s">
        <v>4375</v>
      </c>
      <c r="D26" t="s">
        <v>4376</v>
      </c>
      <c r="E26" t="s">
        <v>4327</v>
      </c>
      <c r="F26" t="s">
        <v>4328</v>
      </c>
      <c r="G26" t="s">
        <v>4473</v>
      </c>
      <c r="H26">
        <f>--_xlfn.TEXTBEFORE(_xlfn.TEXTAFTER(Table4[[#This Row],[Name]],"-"),"_")</f>
        <v>102241</v>
      </c>
    </row>
    <row r="27" spans="1:8" x14ac:dyDescent="0.35">
      <c r="A27">
        <v>26</v>
      </c>
      <c r="C27" t="s">
        <v>4377</v>
      </c>
      <c r="D27" t="s">
        <v>4378</v>
      </c>
      <c r="E27" t="s">
        <v>4327</v>
      </c>
      <c r="F27" t="s">
        <v>4328</v>
      </c>
      <c r="G27" t="s">
        <v>4474</v>
      </c>
      <c r="H27">
        <f>--_xlfn.TEXTBEFORE(_xlfn.TEXTAFTER(Table4[[#This Row],[Name]],"-"),"_")</f>
        <v>101955</v>
      </c>
    </row>
    <row r="28" spans="1:8" x14ac:dyDescent="0.35">
      <c r="A28">
        <v>27</v>
      </c>
      <c r="C28" t="s">
        <v>4379</v>
      </c>
      <c r="D28" t="s">
        <v>4380</v>
      </c>
      <c r="E28" t="s">
        <v>4327</v>
      </c>
      <c r="F28" t="s">
        <v>4328</v>
      </c>
      <c r="G28" t="s">
        <v>4475</v>
      </c>
      <c r="H28">
        <f>--_xlfn.TEXTBEFORE(_xlfn.TEXTAFTER(Table4[[#This Row],[Name]],"-"),"_")</f>
        <v>101235</v>
      </c>
    </row>
    <row r="29" spans="1:8" x14ac:dyDescent="0.35">
      <c r="A29">
        <v>28</v>
      </c>
      <c r="C29" t="s">
        <v>4381</v>
      </c>
      <c r="D29" t="s">
        <v>4382</v>
      </c>
      <c r="E29" t="s">
        <v>4327</v>
      </c>
      <c r="F29" t="s">
        <v>4328</v>
      </c>
      <c r="G29" t="s">
        <v>4476</v>
      </c>
      <c r="H29">
        <f>--_xlfn.TEXTBEFORE(_xlfn.TEXTAFTER(Table4[[#This Row],[Name]],"-"),"_")</f>
        <v>103896</v>
      </c>
    </row>
    <row r="30" spans="1:8" x14ac:dyDescent="0.35">
      <c r="A30">
        <v>29</v>
      </c>
      <c r="C30" t="s">
        <v>4383</v>
      </c>
      <c r="D30" t="s">
        <v>4384</v>
      </c>
      <c r="E30" t="s">
        <v>4327</v>
      </c>
      <c r="F30" t="s">
        <v>4328</v>
      </c>
      <c r="G30" t="s">
        <v>4477</v>
      </c>
      <c r="H30">
        <f>--_xlfn.TEXTBEFORE(_xlfn.TEXTAFTER(Table4[[#This Row],[Name]],"-"),"_")</f>
        <v>101736</v>
      </c>
    </row>
    <row r="31" spans="1:8" x14ac:dyDescent="0.35">
      <c r="A31">
        <v>30</v>
      </c>
      <c r="C31" t="s">
        <v>4385</v>
      </c>
      <c r="D31" t="s">
        <v>4386</v>
      </c>
      <c r="E31" t="s">
        <v>4327</v>
      </c>
      <c r="F31" t="s">
        <v>4328</v>
      </c>
      <c r="G31" t="s">
        <v>4478</v>
      </c>
      <c r="H31">
        <f>--_xlfn.TEXTBEFORE(_xlfn.TEXTAFTER(Table4[[#This Row],[Name]],"-"),"_")</f>
        <v>103281</v>
      </c>
    </row>
    <row r="32" spans="1:8" x14ac:dyDescent="0.35">
      <c r="A32">
        <v>31</v>
      </c>
      <c r="C32" t="s">
        <v>4387</v>
      </c>
      <c r="D32" t="s">
        <v>4388</v>
      </c>
      <c r="E32" t="s">
        <v>4327</v>
      </c>
      <c r="F32" t="s">
        <v>4328</v>
      </c>
      <c r="G32" t="s">
        <v>4479</v>
      </c>
      <c r="H32">
        <f>--_xlfn.TEXTBEFORE(_xlfn.TEXTAFTER(Table4[[#This Row],[Name]],"-"),"_")</f>
        <v>103202</v>
      </c>
    </row>
    <row r="33" spans="1:8" x14ac:dyDescent="0.35">
      <c r="A33">
        <v>32</v>
      </c>
      <c r="C33" t="s">
        <v>4389</v>
      </c>
      <c r="D33" t="s">
        <v>4390</v>
      </c>
      <c r="E33" t="s">
        <v>4327</v>
      </c>
      <c r="F33" t="s">
        <v>4328</v>
      </c>
      <c r="G33" t="s">
        <v>4480</v>
      </c>
      <c r="H33">
        <f>--_xlfn.TEXTBEFORE(_xlfn.TEXTAFTER(Table4[[#This Row],[Name]],"-"),"_")</f>
        <v>102145</v>
      </c>
    </row>
    <row r="34" spans="1:8" x14ac:dyDescent="0.35">
      <c r="A34">
        <v>33</v>
      </c>
      <c r="C34" t="s">
        <v>4391</v>
      </c>
      <c r="D34" t="s">
        <v>4392</v>
      </c>
      <c r="E34" t="s">
        <v>4327</v>
      </c>
      <c r="F34" t="s">
        <v>4328</v>
      </c>
      <c r="G34" t="s">
        <v>4481</v>
      </c>
      <c r="H34">
        <f>--_xlfn.TEXTBEFORE(_xlfn.TEXTAFTER(Table4[[#This Row],[Name]],"-"),"_")</f>
        <v>102449</v>
      </c>
    </row>
    <row r="35" spans="1:8" x14ac:dyDescent="0.35">
      <c r="A35">
        <v>34</v>
      </c>
      <c r="C35" t="s">
        <v>4393</v>
      </c>
      <c r="D35" t="s">
        <v>4394</v>
      </c>
      <c r="E35" t="s">
        <v>4327</v>
      </c>
      <c r="F35" t="s">
        <v>4328</v>
      </c>
      <c r="G35" t="s">
        <v>4482</v>
      </c>
      <c r="H35">
        <f>--_xlfn.TEXTBEFORE(_xlfn.TEXTAFTER(Table4[[#This Row],[Name]],"-"),"_")</f>
        <v>102325</v>
      </c>
    </row>
    <row r="36" spans="1:8" x14ac:dyDescent="0.35">
      <c r="A36">
        <v>35</v>
      </c>
      <c r="C36" t="s">
        <v>4395</v>
      </c>
      <c r="D36" t="s">
        <v>4396</v>
      </c>
      <c r="E36" t="s">
        <v>4327</v>
      </c>
      <c r="F36" t="s">
        <v>4328</v>
      </c>
      <c r="G36" t="s">
        <v>4483</v>
      </c>
      <c r="H36">
        <f>--_xlfn.TEXTBEFORE(_xlfn.TEXTAFTER(Table4[[#This Row],[Name]],"-"),"_")</f>
        <v>102280</v>
      </c>
    </row>
    <row r="37" spans="1:8" x14ac:dyDescent="0.35">
      <c r="A37">
        <v>36</v>
      </c>
      <c r="C37" t="s">
        <v>4397</v>
      </c>
      <c r="D37" t="s">
        <v>4398</v>
      </c>
      <c r="E37" t="s">
        <v>4327</v>
      </c>
      <c r="F37" t="s">
        <v>4328</v>
      </c>
      <c r="G37" t="s">
        <v>4484</v>
      </c>
      <c r="H37">
        <f>--_xlfn.TEXTBEFORE(_xlfn.TEXTAFTER(Table4[[#This Row],[Name]],"-"),"_")</f>
        <v>103970</v>
      </c>
    </row>
    <row r="38" spans="1:8" x14ac:dyDescent="0.35">
      <c r="A38">
        <v>37</v>
      </c>
      <c r="C38" t="s">
        <v>4399</v>
      </c>
      <c r="D38" t="s">
        <v>4400</v>
      </c>
      <c r="E38" t="s">
        <v>4327</v>
      </c>
      <c r="F38" t="s">
        <v>4328</v>
      </c>
      <c r="G38" t="s">
        <v>4485</v>
      </c>
      <c r="H38">
        <f>--_xlfn.TEXTBEFORE(_xlfn.TEXTAFTER(Table4[[#This Row],[Name]],"-"),"_")</f>
        <v>101992</v>
      </c>
    </row>
    <row r="39" spans="1:8" x14ac:dyDescent="0.35">
      <c r="A39">
        <v>38</v>
      </c>
      <c r="C39" t="s">
        <v>4401</v>
      </c>
      <c r="D39" t="s">
        <v>4402</v>
      </c>
      <c r="E39" t="s">
        <v>4327</v>
      </c>
      <c r="F39" t="s">
        <v>4328</v>
      </c>
      <c r="G39" t="s">
        <v>4486</v>
      </c>
      <c r="H39">
        <f>--_xlfn.TEXTBEFORE(_xlfn.TEXTAFTER(Table4[[#This Row],[Name]],"-"),"_")</f>
        <v>103989</v>
      </c>
    </row>
    <row r="40" spans="1:8" x14ac:dyDescent="0.35">
      <c r="A40">
        <v>39</v>
      </c>
      <c r="C40" t="s">
        <v>4403</v>
      </c>
      <c r="D40" t="s">
        <v>4404</v>
      </c>
      <c r="E40" t="s">
        <v>4327</v>
      </c>
      <c r="F40" t="s">
        <v>4328</v>
      </c>
      <c r="G40" t="s">
        <v>4487</v>
      </c>
      <c r="H40">
        <f>--_xlfn.TEXTBEFORE(_xlfn.TEXTAFTER(Table4[[#This Row],[Name]],"-"),"_")</f>
        <v>103710</v>
      </c>
    </row>
    <row r="41" spans="1:8" x14ac:dyDescent="0.35">
      <c r="A41">
        <v>40</v>
      </c>
      <c r="C41" t="s">
        <v>4405</v>
      </c>
      <c r="D41" t="s">
        <v>4406</v>
      </c>
      <c r="E41" t="s">
        <v>4327</v>
      </c>
      <c r="F41" t="s">
        <v>4328</v>
      </c>
      <c r="G41" t="s">
        <v>4488</v>
      </c>
      <c r="H41">
        <f>--_xlfn.TEXTBEFORE(_xlfn.TEXTAFTER(Table4[[#This Row],[Name]],"-"),"_")</f>
        <v>104014</v>
      </c>
    </row>
    <row r="42" spans="1:8" x14ac:dyDescent="0.35">
      <c r="A42">
        <v>41</v>
      </c>
      <c r="C42" t="s">
        <v>4407</v>
      </c>
      <c r="D42" t="s">
        <v>4408</v>
      </c>
      <c r="E42" t="s">
        <v>4327</v>
      </c>
      <c r="F42" t="s">
        <v>4328</v>
      </c>
      <c r="G42" t="s">
        <v>4489</v>
      </c>
      <c r="H42">
        <f>--_xlfn.TEXTBEFORE(_xlfn.TEXTAFTER(Table4[[#This Row],[Name]],"-"),"_")</f>
        <v>102679</v>
      </c>
    </row>
    <row r="43" spans="1:8" x14ac:dyDescent="0.35">
      <c r="A43">
        <v>42</v>
      </c>
      <c r="C43" t="s">
        <v>4409</v>
      </c>
      <c r="D43" t="s">
        <v>4410</v>
      </c>
      <c r="E43" t="s">
        <v>4327</v>
      </c>
      <c r="F43" t="s">
        <v>4328</v>
      </c>
      <c r="G43" t="s">
        <v>4490</v>
      </c>
      <c r="H43">
        <f>--_xlfn.TEXTBEFORE(_xlfn.TEXTAFTER(Table4[[#This Row],[Name]],"-"),"_")</f>
        <v>101879</v>
      </c>
    </row>
    <row r="44" spans="1:8" x14ac:dyDescent="0.35">
      <c r="A44">
        <v>43</v>
      </c>
      <c r="C44" t="s">
        <v>4411</v>
      </c>
      <c r="D44" t="s">
        <v>4412</v>
      </c>
      <c r="E44" t="s">
        <v>4327</v>
      </c>
      <c r="F44" t="s">
        <v>4328</v>
      </c>
      <c r="G44" t="s">
        <v>4491</v>
      </c>
      <c r="H44">
        <f>--_xlfn.TEXTBEFORE(_xlfn.TEXTAFTER(Table4[[#This Row],[Name]],"-"),"_")</f>
        <v>102236</v>
      </c>
    </row>
    <row r="45" spans="1:8" x14ac:dyDescent="0.35">
      <c r="A45">
        <v>44</v>
      </c>
      <c r="C45" t="s">
        <v>4413</v>
      </c>
      <c r="D45" t="s">
        <v>4414</v>
      </c>
      <c r="E45" t="s">
        <v>4327</v>
      </c>
      <c r="F45" t="s">
        <v>4328</v>
      </c>
      <c r="G45" t="s">
        <v>4492</v>
      </c>
      <c r="H45">
        <f>--_xlfn.TEXTBEFORE(_xlfn.TEXTAFTER(Table4[[#This Row],[Name]],"-"),"_")</f>
        <v>102642</v>
      </c>
    </row>
    <row r="46" spans="1:8" x14ac:dyDescent="0.35">
      <c r="A46">
        <v>45</v>
      </c>
      <c r="C46" t="s">
        <v>4415</v>
      </c>
      <c r="D46" t="s">
        <v>4416</v>
      </c>
      <c r="E46" t="s">
        <v>4327</v>
      </c>
      <c r="F46" t="s">
        <v>4328</v>
      </c>
      <c r="G46" t="s">
        <v>4493</v>
      </c>
      <c r="H46">
        <f>--_xlfn.TEXTBEFORE(_xlfn.TEXTAFTER(Table4[[#This Row],[Name]],"-"),"_")</f>
        <v>103988</v>
      </c>
    </row>
    <row r="47" spans="1:8" x14ac:dyDescent="0.35">
      <c r="A47">
        <v>46</v>
      </c>
      <c r="C47" t="s">
        <v>4417</v>
      </c>
      <c r="D47" t="s">
        <v>4418</v>
      </c>
      <c r="E47" t="s">
        <v>4327</v>
      </c>
      <c r="F47" t="s">
        <v>4328</v>
      </c>
      <c r="G47" t="s">
        <v>4494</v>
      </c>
      <c r="H47">
        <f>--_xlfn.TEXTBEFORE(_xlfn.TEXTAFTER(Table4[[#This Row],[Name]],"-"),"_")</f>
        <v>102146</v>
      </c>
    </row>
    <row r="48" spans="1:8" x14ac:dyDescent="0.35">
      <c r="A48">
        <v>47</v>
      </c>
      <c r="C48" t="s">
        <v>4419</v>
      </c>
      <c r="D48" t="s">
        <v>4420</v>
      </c>
      <c r="E48" t="s">
        <v>4327</v>
      </c>
      <c r="F48" t="s">
        <v>4328</v>
      </c>
      <c r="G48" t="s">
        <v>4495</v>
      </c>
      <c r="H48">
        <f>--_xlfn.TEXTBEFORE(_xlfn.TEXTAFTER(Table4[[#This Row],[Name]],"-"),"_")</f>
        <v>102561</v>
      </c>
    </row>
    <row r="49" spans="1:8" x14ac:dyDescent="0.35">
      <c r="A49">
        <v>48</v>
      </c>
      <c r="C49" t="s">
        <v>4421</v>
      </c>
      <c r="D49" t="s">
        <v>4422</v>
      </c>
      <c r="E49" t="s">
        <v>4327</v>
      </c>
      <c r="F49" t="s">
        <v>4328</v>
      </c>
      <c r="G49" t="s">
        <v>4496</v>
      </c>
      <c r="H49">
        <f>--_xlfn.TEXTBEFORE(_xlfn.TEXTAFTER(Table4[[#This Row],[Name]],"-"),"_")</f>
        <v>103073</v>
      </c>
    </row>
    <row r="50" spans="1:8" x14ac:dyDescent="0.35">
      <c r="A50">
        <v>49</v>
      </c>
      <c r="C50" t="s">
        <v>4423</v>
      </c>
      <c r="D50" t="s">
        <v>4424</v>
      </c>
      <c r="E50" t="s">
        <v>4327</v>
      </c>
      <c r="F50" t="s">
        <v>4328</v>
      </c>
      <c r="G50" t="s">
        <v>4497</v>
      </c>
      <c r="H50">
        <f>--_xlfn.TEXTBEFORE(_xlfn.TEXTAFTER(Table4[[#This Row],[Name]],"-"),"_")</f>
        <v>103573</v>
      </c>
    </row>
    <row r="51" spans="1:8" x14ac:dyDescent="0.35">
      <c r="A51">
        <v>50</v>
      </c>
      <c r="C51" t="s">
        <v>4425</v>
      </c>
      <c r="D51" t="s">
        <v>4426</v>
      </c>
      <c r="E51" t="s">
        <v>4327</v>
      </c>
      <c r="F51" t="s">
        <v>4328</v>
      </c>
      <c r="G51" t="s">
        <v>4498</v>
      </c>
      <c r="H51">
        <f>--_xlfn.TEXTBEFORE(_xlfn.TEXTAFTER(Table4[[#This Row],[Name]],"-"),"_")</f>
        <v>102733</v>
      </c>
    </row>
    <row r="52" spans="1:8" x14ac:dyDescent="0.35">
      <c r="A52">
        <v>51</v>
      </c>
      <c r="C52" t="s">
        <v>4427</v>
      </c>
      <c r="D52" t="s">
        <v>4428</v>
      </c>
      <c r="E52" t="s">
        <v>4327</v>
      </c>
      <c r="F52" t="s">
        <v>4328</v>
      </c>
      <c r="G52" t="s">
        <v>4499</v>
      </c>
      <c r="H52">
        <f>--_xlfn.TEXTBEFORE(_xlfn.TEXTAFTER(Table4[[#This Row],[Name]],"-"),"_")</f>
        <v>102220</v>
      </c>
    </row>
    <row r="53" spans="1:8" x14ac:dyDescent="0.35">
      <c r="A53">
        <v>52</v>
      </c>
      <c r="C53" t="s">
        <v>4429</v>
      </c>
      <c r="D53" t="s">
        <v>4430</v>
      </c>
      <c r="E53" t="s">
        <v>4327</v>
      </c>
      <c r="F53" t="s">
        <v>4328</v>
      </c>
      <c r="G53" t="s">
        <v>4500</v>
      </c>
      <c r="H53">
        <f>--_xlfn.TEXTBEFORE(_xlfn.TEXTAFTER(Table4[[#This Row],[Name]],"-"),"_")</f>
        <v>102709</v>
      </c>
    </row>
    <row r="54" spans="1:8" x14ac:dyDescent="0.35">
      <c r="A54">
        <v>53</v>
      </c>
      <c r="C54" t="s">
        <v>4431</v>
      </c>
      <c r="D54" t="s">
        <v>4432</v>
      </c>
      <c r="E54" t="s">
        <v>4327</v>
      </c>
      <c r="F54" t="s">
        <v>4328</v>
      </c>
      <c r="G54" t="s">
        <v>4501</v>
      </c>
      <c r="H54">
        <f>--_xlfn.TEXTBEFORE(_xlfn.TEXTAFTER(Table4[[#This Row],[Name]],"-"),"_")</f>
        <v>104075</v>
      </c>
    </row>
    <row r="55" spans="1:8" x14ac:dyDescent="0.35">
      <c r="A55">
        <v>54</v>
      </c>
      <c r="C55" t="s">
        <v>4433</v>
      </c>
      <c r="D55" t="s">
        <v>4434</v>
      </c>
      <c r="E55" t="s">
        <v>4327</v>
      </c>
      <c r="F55" t="s">
        <v>4328</v>
      </c>
      <c r="G55" t="s">
        <v>4502</v>
      </c>
      <c r="H55">
        <f>--_xlfn.TEXTBEFORE(_xlfn.TEXTAFTER(Table4[[#This Row],[Name]],"-"),"_")</f>
        <v>101913</v>
      </c>
    </row>
    <row r="56" spans="1:8" x14ac:dyDescent="0.35">
      <c r="A56">
        <v>55</v>
      </c>
      <c r="C56" t="s">
        <v>4435</v>
      </c>
      <c r="D56" t="s">
        <v>4436</v>
      </c>
      <c r="E56" t="s">
        <v>4327</v>
      </c>
      <c r="F56" t="s">
        <v>4328</v>
      </c>
      <c r="G56" t="s">
        <v>4503</v>
      </c>
      <c r="H56">
        <f>--_xlfn.TEXTBEFORE(_xlfn.TEXTAFTER(Table4[[#This Row],[Name]],"-"),"_")</f>
        <v>102759</v>
      </c>
    </row>
    <row r="57" spans="1:8" x14ac:dyDescent="0.35">
      <c r="A57">
        <v>56</v>
      </c>
      <c r="C57" t="s">
        <v>4437</v>
      </c>
      <c r="D57" t="s">
        <v>4438</v>
      </c>
      <c r="E57" t="s">
        <v>4327</v>
      </c>
      <c r="F57" t="s">
        <v>4328</v>
      </c>
      <c r="G57" t="s">
        <v>4504</v>
      </c>
      <c r="H57">
        <f>--_xlfn.TEXTBEFORE(_xlfn.TEXTAFTER(Table4[[#This Row],[Name]],"-"),"_")</f>
        <v>102593</v>
      </c>
    </row>
    <row r="58" spans="1:8" x14ac:dyDescent="0.35">
      <c r="A58">
        <v>57</v>
      </c>
      <c r="C58" t="s">
        <v>4439</v>
      </c>
      <c r="D58" t="s">
        <v>4440</v>
      </c>
      <c r="E58" t="s">
        <v>4327</v>
      </c>
      <c r="F58" t="s">
        <v>4328</v>
      </c>
      <c r="G58" t="s">
        <v>4505</v>
      </c>
      <c r="H58">
        <f>--_xlfn.TEXTBEFORE(_xlfn.TEXTAFTER(Table4[[#This Row],[Name]],"-"),"_")</f>
        <v>103901</v>
      </c>
    </row>
    <row r="59" spans="1:8" x14ac:dyDescent="0.35">
      <c r="A59">
        <v>58</v>
      </c>
      <c r="C59" t="s">
        <v>4441</v>
      </c>
      <c r="D59" t="s">
        <v>4442</v>
      </c>
      <c r="E59" t="s">
        <v>4327</v>
      </c>
      <c r="F59" t="s">
        <v>4328</v>
      </c>
      <c r="G59" t="s">
        <v>4506</v>
      </c>
      <c r="H59">
        <f>--_xlfn.TEXTBEFORE(_xlfn.TEXTAFTER(Table4[[#This Row],[Name]],"-"),"_")</f>
        <v>103499</v>
      </c>
    </row>
    <row r="60" spans="1:8" x14ac:dyDescent="0.35">
      <c r="A60">
        <v>59</v>
      </c>
      <c r="C60" t="s">
        <v>4443</v>
      </c>
      <c r="D60" t="s">
        <v>4444</v>
      </c>
      <c r="E60" t="s">
        <v>4327</v>
      </c>
      <c r="F60" t="s">
        <v>4328</v>
      </c>
      <c r="G60" t="s">
        <v>4507</v>
      </c>
      <c r="H60">
        <f>--_xlfn.TEXTBEFORE(_xlfn.TEXTAFTER(Table4[[#This Row],[Name]],"-"),"_")</f>
        <v>104107</v>
      </c>
    </row>
    <row r="61" spans="1:8" x14ac:dyDescent="0.35">
      <c r="A61">
        <v>60</v>
      </c>
      <c r="C61" t="s">
        <v>4445</v>
      </c>
      <c r="D61" t="s">
        <v>4446</v>
      </c>
      <c r="E61" t="s">
        <v>4327</v>
      </c>
      <c r="F61" t="s">
        <v>4328</v>
      </c>
      <c r="G61" t="s">
        <v>4508</v>
      </c>
      <c r="H61">
        <f>--_xlfn.TEXTBEFORE(_xlfn.TEXTAFTER(Table4[[#This Row],[Name]],"-"),"_")</f>
        <v>104155</v>
      </c>
    </row>
    <row r="62" spans="1:8" x14ac:dyDescent="0.35">
      <c r="A62">
        <v>61</v>
      </c>
      <c r="C62" t="s">
        <v>4447</v>
      </c>
      <c r="D62" t="s">
        <v>4448</v>
      </c>
      <c r="E62" t="s">
        <v>4327</v>
      </c>
      <c r="F62" t="s">
        <v>4328</v>
      </c>
      <c r="G62" t="s">
        <v>4509</v>
      </c>
      <c r="H62">
        <f>--_xlfn.TEXTBEFORE(_xlfn.TEXTAFTER(Table4[[#This Row],[Name]],"-"),"_")</f>
        <v>104219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A59F7-786F-47B1-8153-6403D0921805}">
  <dimension ref="A1:H61"/>
  <sheetViews>
    <sheetView topLeftCell="A4" workbookViewId="0">
      <selection activeCell="F51" sqref="F51"/>
    </sheetView>
  </sheetViews>
  <sheetFormatPr defaultRowHeight="14.5" x14ac:dyDescent="0.35"/>
  <cols>
    <col min="1" max="1" width="4.08984375" bestFit="1" customWidth="1"/>
    <col min="2" max="2" width="8.453125" bestFit="1" customWidth="1"/>
    <col min="3" max="3" width="21.26953125" bestFit="1" customWidth="1"/>
    <col min="4" max="4" width="18.81640625" bestFit="1" customWidth="1"/>
    <col min="5" max="5" width="15.1796875" bestFit="1" customWidth="1"/>
    <col min="6" max="6" width="14" bestFit="1" customWidth="1"/>
    <col min="7" max="7" width="27.81640625" bestFit="1" customWidth="1"/>
    <col min="8" max="8" width="7.7265625" bestFit="1" customWidth="1"/>
  </cols>
  <sheetData>
    <row r="1" spans="1:8" x14ac:dyDescent="0.35">
      <c r="A1" t="s">
        <v>4320</v>
      </c>
      <c r="B1" t="s">
        <v>6</v>
      </c>
      <c r="C1" t="s">
        <v>588</v>
      </c>
      <c r="D1" t="s">
        <v>4321</v>
      </c>
      <c r="E1" t="s">
        <v>4322</v>
      </c>
      <c r="F1" t="s">
        <v>4323</v>
      </c>
      <c r="G1" t="s">
        <v>4324</v>
      </c>
      <c r="H1" t="s">
        <v>4316</v>
      </c>
    </row>
    <row r="2" spans="1:8" x14ac:dyDescent="0.35">
      <c r="A2">
        <v>1</v>
      </c>
      <c r="C2" t="s">
        <v>4510</v>
      </c>
      <c r="D2" t="s">
        <v>4511</v>
      </c>
      <c r="E2" t="s">
        <v>4327</v>
      </c>
      <c r="F2" t="s">
        <v>4512</v>
      </c>
      <c r="G2" t="s">
        <v>4627</v>
      </c>
      <c r="H2" t="e">
        <f>--_xlfn.TEXTBEFORE(_xlfn.TEXTAFTER(Table5[[#This Row],[Name]],"-"),"_")</f>
        <v>#N/A</v>
      </c>
    </row>
    <row r="3" spans="1:8" x14ac:dyDescent="0.35">
      <c r="A3">
        <v>2</v>
      </c>
      <c r="C3" t="s">
        <v>4513</v>
      </c>
      <c r="D3" t="s">
        <v>4514</v>
      </c>
      <c r="E3" t="s">
        <v>4327</v>
      </c>
      <c r="F3" t="s">
        <v>4328</v>
      </c>
      <c r="G3" t="s">
        <v>4628</v>
      </c>
      <c r="H3">
        <f>--_xlfn.TEXTBEFORE(_xlfn.TEXTAFTER(Table5[[#This Row],[Name]],"-"),"_")</f>
        <v>103497</v>
      </c>
    </row>
    <row r="4" spans="1:8" x14ac:dyDescent="0.35">
      <c r="A4">
        <v>3</v>
      </c>
      <c r="C4" t="s">
        <v>4515</v>
      </c>
      <c r="D4" t="s">
        <v>4516</v>
      </c>
      <c r="E4" t="s">
        <v>4327</v>
      </c>
      <c r="F4" t="s">
        <v>4328</v>
      </c>
      <c r="G4" t="s">
        <v>4629</v>
      </c>
      <c r="H4">
        <f>--_xlfn.TEXTBEFORE(_xlfn.TEXTAFTER(Table5[[#This Row],[Name]],"-"),"_")</f>
        <v>104238</v>
      </c>
    </row>
    <row r="5" spans="1:8" x14ac:dyDescent="0.35">
      <c r="A5">
        <v>4</v>
      </c>
      <c r="C5" t="s">
        <v>4517</v>
      </c>
      <c r="D5" t="s">
        <v>4518</v>
      </c>
      <c r="E5" t="s">
        <v>4327</v>
      </c>
      <c r="F5" t="s">
        <v>4328</v>
      </c>
      <c r="G5" t="s">
        <v>4630</v>
      </c>
      <c r="H5">
        <f>--_xlfn.TEXTBEFORE(_xlfn.TEXTAFTER(Table5[[#This Row],[Name]],"-"),"_")</f>
        <v>103688</v>
      </c>
    </row>
    <row r="6" spans="1:8" x14ac:dyDescent="0.35">
      <c r="A6">
        <v>5</v>
      </c>
      <c r="C6" t="s">
        <v>4519</v>
      </c>
      <c r="D6" t="s">
        <v>4520</v>
      </c>
      <c r="E6" t="s">
        <v>4327</v>
      </c>
      <c r="F6" t="s">
        <v>4328</v>
      </c>
      <c r="G6" t="s">
        <v>4631</v>
      </c>
      <c r="H6">
        <f>--_xlfn.TEXTBEFORE(_xlfn.TEXTAFTER(Table5[[#This Row],[Name]],"-"),"_")</f>
        <v>103264</v>
      </c>
    </row>
    <row r="7" spans="1:8" x14ac:dyDescent="0.35">
      <c r="A7">
        <v>6</v>
      </c>
      <c r="C7" t="s">
        <v>4521</v>
      </c>
      <c r="D7" t="s">
        <v>4522</v>
      </c>
      <c r="E7" t="s">
        <v>4327</v>
      </c>
      <c r="F7" t="s">
        <v>4328</v>
      </c>
      <c r="G7" t="s">
        <v>4632</v>
      </c>
      <c r="H7">
        <f>--_xlfn.TEXTBEFORE(_xlfn.TEXTAFTER(Table5[[#This Row],[Name]],"-"),"_")</f>
        <v>101704</v>
      </c>
    </row>
    <row r="8" spans="1:8" x14ac:dyDescent="0.35">
      <c r="A8">
        <v>7</v>
      </c>
      <c r="C8" t="s">
        <v>4523</v>
      </c>
      <c r="D8" t="s">
        <v>4524</v>
      </c>
      <c r="E8" t="s">
        <v>4327</v>
      </c>
      <c r="F8" t="s">
        <v>4328</v>
      </c>
      <c r="G8" t="s">
        <v>4633</v>
      </c>
      <c r="H8">
        <f>--_xlfn.TEXTBEFORE(_xlfn.TEXTAFTER(Table5[[#This Row],[Name]],"-"),"_")</f>
        <v>101209</v>
      </c>
    </row>
    <row r="9" spans="1:8" x14ac:dyDescent="0.35">
      <c r="A9">
        <v>8</v>
      </c>
      <c r="C9" t="s">
        <v>4525</v>
      </c>
      <c r="D9" t="s">
        <v>4526</v>
      </c>
      <c r="E9" t="s">
        <v>4327</v>
      </c>
      <c r="F9" t="s">
        <v>4328</v>
      </c>
      <c r="G9" t="s">
        <v>4634</v>
      </c>
      <c r="H9">
        <f>--_xlfn.TEXTBEFORE(_xlfn.TEXTAFTER(Table5[[#This Row],[Name]],"-"),"_")</f>
        <v>104239</v>
      </c>
    </row>
    <row r="10" spans="1:8" x14ac:dyDescent="0.35">
      <c r="A10">
        <v>9</v>
      </c>
      <c r="C10" t="s">
        <v>4527</v>
      </c>
      <c r="D10" t="s">
        <v>4528</v>
      </c>
      <c r="E10" t="s">
        <v>4327</v>
      </c>
      <c r="F10" t="s">
        <v>4328</v>
      </c>
      <c r="G10" t="s">
        <v>4635</v>
      </c>
      <c r="H10">
        <f>--_xlfn.TEXTBEFORE(_xlfn.TEXTAFTER(Table5[[#This Row],[Name]],"-"),"_")</f>
        <v>103761</v>
      </c>
    </row>
    <row r="11" spans="1:8" x14ac:dyDescent="0.35">
      <c r="A11">
        <v>10</v>
      </c>
      <c r="C11" t="s">
        <v>4529</v>
      </c>
      <c r="D11" t="s">
        <v>4530</v>
      </c>
      <c r="E11" t="s">
        <v>4327</v>
      </c>
      <c r="F11" t="s">
        <v>4328</v>
      </c>
      <c r="G11" t="s">
        <v>4636</v>
      </c>
      <c r="H11">
        <f>--_xlfn.TEXTBEFORE(_xlfn.TEXTAFTER(Table5[[#This Row],[Name]],"-"),"_")</f>
        <v>103727</v>
      </c>
    </row>
    <row r="12" spans="1:8" x14ac:dyDescent="0.35">
      <c r="A12">
        <v>11</v>
      </c>
      <c r="C12" t="s">
        <v>4531</v>
      </c>
      <c r="D12" t="s">
        <v>4532</v>
      </c>
      <c r="E12" t="s">
        <v>4327</v>
      </c>
      <c r="F12" t="s">
        <v>4328</v>
      </c>
      <c r="G12" t="s">
        <v>4637</v>
      </c>
      <c r="H12">
        <f>--_xlfn.TEXTBEFORE(_xlfn.TEXTAFTER(Table5[[#This Row],[Name]],"-"),"_")</f>
        <v>104296</v>
      </c>
    </row>
    <row r="13" spans="1:8" x14ac:dyDescent="0.35">
      <c r="A13">
        <v>12</v>
      </c>
      <c r="C13" t="s">
        <v>4533</v>
      </c>
      <c r="D13" t="s">
        <v>4534</v>
      </c>
      <c r="E13" t="s">
        <v>4327</v>
      </c>
      <c r="F13" t="s">
        <v>4328</v>
      </c>
      <c r="G13" t="s">
        <v>4638</v>
      </c>
      <c r="H13">
        <f>--_xlfn.TEXTBEFORE(_xlfn.TEXTAFTER(Table5[[#This Row],[Name]],"-"),"_")</f>
        <v>104300</v>
      </c>
    </row>
    <row r="14" spans="1:8" x14ac:dyDescent="0.35">
      <c r="A14">
        <v>13</v>
      </c>
      <c r="C14" t="s">
        <v>4535</v>
      </c>
      <c r="D14" t="s">
        <v>4536</v>
      </c>
      <c r="E14" t="s">
        <v>4327</v>
      </c>
      <c r="F14" t="s">
        <v>4328</v>
      </c>
      <c r="G14" t="s">
        <v>4639</v>
      </c>
      <c r="H14">
        <f>--_xlfn.TEXTBEFORE(_xlfn.TEXTAFTER(Table5[[#This Row],[Name]],"-"),"_")</f>
        <v>104372</v>
      </c>
    </row>
    <row r="15" spans="1:8" x14ac:dyDescent="0.35">
      <c r="A15">
        <v>14</v>
      </c>
      <c r="C15" t="s">
        <v>4537</v>
      </c>
      <c r="D15" t="s">
        <v>4538</v>
      </c>
      <c r="E15" t="s">
        <v>4327</v>
      </c>
      <c r="F15" t="s">
        <v>4328</v>
      </c>
      <c r="G15" t="s">
        <v>4640</v>
      </c>
      <c r="H15">
        <f>--_xlfn.TEXTBEFORE(_xlfn.TEXTAFTER(Table5[[#This Row],[Name]],"-"),"_")</f>
        <v>101042</v>
      </c>
    </row>
    <row r="16" spans="1:8" x14ac:dyDescent="0.35">
      <c r="A16">
        <v>15</v>
      </c>
      <c r="C16" t="s">
        <v>4539</v>
      </c>
      <c r="D16" t="s">
        <v>4540</v>
      </c>
      <c r="E16" t="s">
        <v>4327</v>
      </c>
      <c r="F16" t="s">
        <v>4328</v>
      </c>
      <c r="G16" t="s">
        <v>4641</v>
      </c>
      <c r="H16">
        <f>--_xlfn.TEXTBEFORE(_xlfn.TEXTAFTER(Table5[[#This Row],[Name]],"-"),"_")</f>
        <v>103355</v>
      </c>
    </row>
    <row r="17" spans="1:8" x14ac:dyDescent="0.35">
      <c r="A17">
        <v>16</v>
      </c>
      <c r="C17" t="s">
        <v>4541</v>
      </c>
      <c r="D17" t="s">
        <v>4542</v>
      </c>
      <c r="E17" t="s">
        <v>4327</v>
      </c>
      <c r="F17" t="s">
        <v>4328</v>
      </c>
      <c r="G17" t="s">
        <v>4642</v>
      </c>
      <c r="H17">
        <f>--_xlfn.TEXTBEFORE(_xlfn.TEXTAFTER(Table5[[#This Row],[Name]],"-"),"_")</f>
        <v>101927</v>
      </c>
    </row>
    <row r="18" spans="1:8" x14ac:dyDescent="0.35">
      <c r="A18">
        <v>17</v>
      </c>
      <c r="C18" t="s">
        <v>4543</v>
      </c>
      <c r="D18" t="s">
        <v>4544</v>
      </c>
      <c r="E18" t="s">
        <v>4327</v>
      </c>
      <c r="F18" t="s">
        <v>4328</v>
      </c>
      <c r="G18" t="s">
        <v>4643</v>
      </c>
      <c r="H18">
        <f>--_xlfn.TEXTBEFORE(_xlfn.TEXTAFTER(Table5[[#This Row],[Name]],"-"),"_")</f>
        <v>101854</v>
      </c>
    </row>
    <row r="19" spans="1:8" x14ac:dyDescent="0.35">
      <c r="A19">
        <v>18</v>
      </c>
      <c r="C19" t="s">
        <v>4545</v>
      </c>
      <c r="D19" t="s">
        <v>4546</v>
      </c>
      <c r="E19" t="s">
        <v>4327</v>
      </c>
      <c r="F19" t="s">
        <v>4328</v>
      </c>
      <c r="G19" t="s">
        <v>4644</v>
      </c>
      <c r="H19">
        <f>--_xlfn.TEXTBEFORE(_xlfn.TEXTAFTER(Table5[[#This Row],[Name]],"-"),"_")</f>
        <v>104240</v>
      </c>
    </row>
    <row r="20" spans="1:8" x14ac:dyDescent="0.35">
      <c r="A20">
        <v>19</v>
      </c>
      <c r="C20" t="s">
        <v>4547</v>
      </c>
      <c r="D20" t="s">
        <v>4548</v>
      </c>
      <c r="E20" t="s">
        <v>4327</v>
      </c>
      <c r="F20" t="s">
        <v>4328</v>
      </c>
      <c r="G20" t="s">
        <v>4645</v>
      </c>
      <c r="H20">
        <f>--_xlfn.TEXTBEFORE(_xlfn.TEXTAFTER(Table5[[#This Row],[Name]],"-"),"_")</f>
        <v>104244</v>
      </c>
    </row>
    <row r="21" spans="1:8" x14ac:dyDescent="0.35">
      <c r="A21">
        <v>20</v>
      </c>
      <c r="C21" t="s">
        <v>4549</v>
      </c>
      <c r="D21" t="s">
        <v>4550</v>
      </c>
      <c r="E21" t="s">
        <v>4327</v>
      </c>
      <c r="F21" t="s">
        <v>4328</v>
      </c>
      <c r="G21" t="s">
        <v>4646</v>
      </c>
      <c r="H21">
        <f>--_xlfn.TEXTBEFORE(_xlfn.TEXTAFTER(Table5[[#This Row],[Name]],"-"),"_")</f>
        <v>102165</v>
      </c>
    </row>
    <row r="22" spans="1:8" x14ac:dyDescent="0.35">
      <c r="A22">
        <v>21</v>
      </c>
      <c r="C22" t="s">
        <v>4551</v>
      </c>
      <c r="D22" t="s">
        <v>4552</v>
      </c>
      <c r="E22" t="s">
        <v>4327</v>
      </c>
      <c r="F22" t="s">
        <v>4328</v>
      </c>
      <c r="G22" t="s">
        <v>4647</v>
      </c>
      <c r="H22">
        <f>--_xlfn.TEXTBEFORE(_xlfn.TEXTAFTER(Table5[[#This Row],[Name]],"-"),"_")</f>
        <v>101084</v>
      </c>
    </row>
    <row r="23" spans="1:8" x14ac:dyDescent="0.35">
      <c r="A23">
        <v>22</v>
      </c>
      <c r="C23" t="s">
        <v>4553</v>
      </c>
      <c r="D23" t="s">
        <v>4554</v>
      </c>
      <c r="E23" t="s">
        <v>4327</v>
      </c>
      <c r="F23" t="s">
        <v>4328</v>
      </c>
      <c r="G23" t="s">
        <v>4648</v>
      </c>
      <c r="H23">
        <f>--_xlfn.TEXTBEFORE(_xlfn.TEXTAFTER(Table5[[#This Row],[Name]],"-"),"_")</f>
        <v>103170</v>
      </c>
    </row>
    <row r="24" spans="1:8" x14ac:dyDescent="0.35">
      <c r="A24">
        <v>23</v>
      </c>
      <c r="C24" t="s">
        <v>4555</v>
      </c>
      <c r="D24" t="s">
        <v>4556</v>
      </c>
      <c r="E24" t="s">
        <v>4327</v>
      </c>
      <c r="F24" t="s">
        <v>4328</v>
      </c>
      <c r="G24" t="s">
        <v>4649</v>
      </c>
      <c r="H24">
        <f>--_xlfn.TEXTBEFORE(_xlfn.TEXTAFTER(Table5[[#This Row],[Name]],"-"),"_")</f>
        <v>103113</v>
      </c>
    </row>
    <row r="25" spans="1:8" x14ac:dyDescent="0.35">
      <c r="A25">
        <v>24</v>
      </c>
      <c r="C25" t="s">
        <v>4557</v>
      </c>
      <c r="D25" t="s">
        <v>4558</v>
      </c>
      <c r="E25" t="s">
        <v>4327</v>
      </c>
      <c r="F25" t="s">
        <v>4328</v>
      </c>
      <c r="G25" t="s">
        <v>4650</v>
      </c>
      <c r="H25">
        <f>--_xlfn.TEXTBEFORE(_xlfn.TEXTAFTER(Table5[[#This Row],[Name]],"-"),"_")</f>
        <v>101223</v>
      </c>
    </row>
    <row r="26" spans="1:8" x14ac:dyDescent="0.35">
      <c r="A26">
        <v>25</v>
      </c>
      <c r="C26" t="s">
        <v>4559</v>
      </c>
      <c r="D26" t="s">
        <v>4560</v>
      </c>
      <c r="E26" t="s">
        <v>4327</v>
      </c>
      <c r="F26" t="s">
        <v>4328</v>
      </c>
      <c r="G26" t="s">
        <v>4651</v>
      </c>
      <c r="H26">
        <f>--_xlfn.TEXTBEFORE(_xlfn.TEXTAFTER(Table5[[#This Row],[Name]],"-"),"_")</f>
        <v>104256</v>
      </c>
    </row>
    <row r="27" spans="1:8" x14ac:dyDescent="0.35">
      <c r="A27">
        <v>26</v>
      </c>
      <c r="C27" t="s">
        <v>4561</v>
      </c>
      <c r="D27" t="s">
        <v>4562</v>
      </c>
      <c r="E27" t="s">
        <v>4327</v>
      </c>
      <c r="F27" t="s">
        <v>4328</v>
      </c>
      <c r="G27" t="s">
        <v>4652</v>
      </c>
      <c r="H27">
        <f>--_xlfn.TEXTBEFORE(_xlfn.TEXTAFTER(Table5[[#This Row],[Name]],"-"),"_")</f>
        <v>104264</v>
      </c>
    </row>
    <row r="28" spans="1:8" x14ac:dyDescent="0.35">
      <c r="A28">
        <v>27</v>
      </c>
      <c r="C28" t="s">
        <v>4563</v>
      </c>
      <c r="D28" t="s">
        <v>4564</v>
      </c>
      <c r="E28" t="s">
        <v>4327</v>
      </c>
      <c r="F28" t="s">
        <v>4328</v>
      </c>
      <c r="G28" t="s">
        <v>4653</v>
      </c>
      <c r="H28">
        <f>--_xlfn.TEXTBEFORE(_xlfn.TEXTAFTER(Table5[[#This Row],[Name]],"-"),"_")</f>
        <v>104167</v>
      </c>
    </row>
    <row r="29" spans="1:8" x14ac:dyDescent="0.35">
      <c r="A29">
        <v>28</v>
      </c>
      <c r="C29" t="s">
        <v>4565</v>
      </c>
      <c r="D29" t="s">
        <v>4566</v>
      </c>
      <c r="E29" t="s">
        <v>4327</v>
      </c>
      <c r="F29" t="s">
        <v>4328</v>
      </c>
      <c r="G29" t="s">
        <v>4654</v>
      </c>
      <c r="H29">
        <f>--_xlfn.TEXTBEFORE(_xlfn.TEXTAFTER(Table5[[#This Row],[Name]],"-"),"_")</f>
        <v>102751</v>
      </c>
    </row>
    <row r="30" spans="1:8" x14ac:dyDescent="0.35">
      <c r="A30">
        <v>29</v>
      </c>
      <c r="C30" t="s">
        <v>4567</v>
      </c>
      <c r="D30" t="s">
        <v>4568</v>
      </c>
      <c r="E30" t="s">
        <v>4327</v>
      </c>
      <c r="F30" t="s">
        <v>4328</v>
      </c>
      <c r="G30" t="s">
        <v>4655</v>
      </c>
      <c r="H30">
        <f>--_xlfn.TEXTBEFORE(_xlfn.TEXTAFTER(Table5[[#This Row],[Name]],"-"),"_")</f>
        <v>101175</v>
      </c>
    </row>
    <row r="31" spans="1:8" x14ac:dyDescent="0.35">
      <c r="A31">
        <v>30</v>
      </c>
      <c r="C31" t="s">
        <v>4569</v>
      </c>
      <c r="D31" t="s">
        <v>4570</v>
      </c>
      <c r="E31" t="s">
        <v>4327</v>
      </c>
      <c r="F31" t="s">
        <v>4328</v>
      </c>
      <c r="G31" t="s">
        <v>4656</v>
      </c>
      <c r="H31">
        <f>--_xlfn.TEXTBEFORE(_xlfn.TEXTAFTER(Table5[[#This Row],[Name]],"-"),"_")</f>
        <v>103782</v>
      </c>
    </row>
    <row r="32" spans="1:8" x14ac:dyDescent="0.35">
      <c r="A32">
        <v>31</v>
      </c>
      <c r="C32" t="s">
        <v>4571</v>
      </c>
      <c r="D32" t="s">
        <v>4572</v>
      </c>
      <c r="E32" t="s">
        <v>4327</v>
      </c>
      <c r="F32" t="s">
        <v>4328</v>
      </c>
      <c r="G32" t="s">
        <v>4657</v>
      </c>
      <c r="H32">
        <f>--_xlfn.TEXTBEFORE(_xlfn.TEXTAFTER(Table5[[#This Row],[Name]],"-"),"_")</f>
        <v>104288</v>
      </c>
    </row>
    <row r="33" spans="1:8" x14ac:dyDescent="0.35">
      <c r="A33">
        <v>32</v>
      </c>
      <c r="C33" t="s">
        <v>4573</v>
      </c>
      <c r="D33" t="s">
        <v>4574</v>
      </c>
      <c r="E33" t="s">
        <v>4327</v>
      </c>
      <c r="F33" t="s">
        <v>4328</v>
      </c>
      <c r="G33" t="s">
        <v>4658</v>
      </c>
      <c r="H33">
        <f>--_xlfn.TEXTBEFORE(_xlfn.TEXTAFTER(Table5[[#This Row],[Name]],"-"),"_")</f>
        <v>104286</v>
      </c>
    </row>
    <row r="34" spans="1:8" x14ac:dyDescent="0.35">
      <c r="A34">
        <v>33</v>
      </c>
      <c r="C34" t="s">
        <v>4575</v>
      </c>
      <c r="D34" t="s">
        <v>4576</v>
      </c>
      <c r="E34" t="s">
        <v>4327</v>
      </c>
      <c r="F34" t="s">
        <v>4328</v>
      </c>
      <c r="G34" t="s">
        <v>4659</v>
      </c>
      <c r="H34">
        <f>--_xlfn.TEXTBEFORE(_xlfn.TEXTAFTER(Table5[[#This Row],[Name]],"-"),"_")</f>
        <v>104274</v>
      </c>
    </row>
    <row r="35" spans="1:8" x14ac:dyDescent="0.35">
      <c r="A35">
        <v>34</v>
      </c>
      <c r="C35" t="s">
        <v>4577</v>
      </c>
      <c r="D35" t="s">
        <v>4578</v>
      </c>
      <c r="E35" t="s">
        <v>4327</v>
      </c>
      <c r="F35" t="s">
        <v>4328</v>
      </c>
      <c r="G35" t="s">
        <v>4660</v>
      </c>
      <c r="H35">
        <f>--_xlfn.TEXTBEFORE(_xlfn.TEXTAFTER(Table5[[#This Row],[Name]],"-"),"_")</f>
        <v>101117</v>
      </c>
    </row>
    <row r="36" spans="1:8" x14ac:dyDescent="0.35">
      <c r="A36">
        <v>35</v>
      </c>
      <c r="C36" t="s">
        <v>4579</v>
      </c>
      <c r="D36" t="s">
        <v>4580</v>
      </c>
      <c r="E36" t="s">
        <v>4327</v>
      </c>
      <c r="F36" t="s">
        <v>4328</v>
      </c>
      <c r="G36" t="s">
        <v>4661</v>
      </c>
      <c r="H36">
        <f>--_xlfn.TEXTBEFORE(_xlfn.TEXTAFTER(Table5[[#This Row],[Name]],"-"),"_")</f>
        <v>104292</v>
      </c>
    </row>
    <row r="37" spans="1:8" x14ac:dyDescent="0.35">
      <c r="A37">
        <v>36</v>
      </c>
      <c r="C37" t="s">
        <v>4581</v>
      </c>
      <c r="D37" t="s">
        <v>4582</v>
      </c>
      <c r="E37" t="s">
        <v>4327</v>
      </c>
      <c r="F37" t="s">
        <v>4328</v>
      </c>
      <c r="G37" t="s">
        <v>4662</v>
      </c>
      <c r="H37">
        <f>--_xlfn.TEXTBEFORE(_xlfn.TEXTAFTER(Table5[[#This Row],[Name]],"-"),"_")</f>
        <v>101989</v>
      </c>
    </row>
    <row r="38" spans="1:8" x14ac:dyDescent="0.35">
      <c r="A38">
        <v>37</v>
      </c>
      <c r="C38" t="s">
        <v>4583</v>
      </c>
      <c r="D38" t="s">
        <v>4584</v>
      </c>
      <c r="E38" t="s">
        <v>4327</v>
      </c>
      <c r="F38" t="s">
        <v>4328</v>
      </c>
      <c r="G38" t="s">
        <v>4663</v>
      </c>
      <c r="H38">
        <f>--_xlfn.TEXTBEFORE(_xlfn.TEXTAFTER(Table5[[#This Row],[Name]],"-"),"_")</f>
        <v>104319</v>
      </c>
    </row>
    <row r="39" spans="1:8" x14ac:dyDescent="0.35">
      <c r="A39">
        <v>38</v>
      </c>
      <c r="C39" t="s">
        <v>4585</v>
      </c>
      <c r="D39" t="s">
        <v>4586</v>
      </c>
      <c r="E39" t="s">
        <v>4327</v>
      </c>
      <c r="F39" t="s">
        <v>4328</v>
      </c>
      <c r="G39" t="s">
        <v>4664</v>
      </c>
      <c r="H39">
        <f>--_xlfn.TEXTBEFORE(_xlfn.TEXTAFTER(Table5[[#This Row],[Name]],"-"),"_")</f>
        <v>104325</v>
      </c>
    </row>
    <row r="40" spans="1:8" x14ac:dyDescent="0.35">
      <c r="A40">
        <v>39</v>
      </c>
      <c r="C40" t="s">
        <v>4587</v>
      </c>
      <c r="D40" t="s">
        <v>4588</v>
      </c>
      <c r="E40" t="s">
        <v>4327</v>
      </c>
      <c r="F40" t="s">
        <v>4328</v>
      </c>
      <c r="G40" t="s">
        <v>4665</v>
      </c>
      <c r="H40">
        <f>--_xlfn.TEXTBEFORE(_xlfn.TEXTAFTER(Table5[[#This Row],[Name]],"-"),"_")</f>
        <v>104338</v>
      </c>
    </row>
    <row r="41" spans="1:8" x14ac:dyDescent="0.35">
      <c r="A41">
        <v>40</v>
      </c>
      <c r="C41" t="s">
        <v>4589</v>
      </c>
      <c r="D41" t="s">
        <v>4590</v>
      </c>
      <c r="E41" t="s">
        <v>4327</v>
      </c>
      <c r="F41" t="s">
        <v>4328</v>
      </c>
      <c r="G41" t="s">
        <v>4666</v>
      </c>
      <c r="H41">
        <f>--_xlfn.TEXTBEFORE(_xlfn.TEXTAFTER(Table5[[#This Row],[Name]],"-"),"_")</f>
        <v>104339</v>
      </c>
    </row>
    <row r="42" spans="1:8" x14ac:dyDescent="0.35">
      <c r="A42">
        <v>41</v>
      </c>
      <c r="C42" t="s">
        <v>4591</v>
      </c>
      <c r="D42" t="s">
        <v>4592</v>
      </c>
      <c r="E42" t="s">
        <v>4327</v>
      </c>
      <c r="F42" t="s">
        <v>4328</v>
      </c>
      <c r="G42" t="s">
        <v>4667</v>
      </c>
      <c r="H42">
        <f>--_xlfn.TEXTBEFORE(_xlfn.TEXTAFTER(Table5[[#This Row],[Name]],"-"),"_")</f>
        <v>101649</v>
      </c>
    </row>
    <row r="43" spans="1:8" x14ac:dyDescent="0.35">
      <c r="A43">
        <v>42</v>
      </c>
      <c r="C43" t="s">
        <v>4593</v>
      </c>
      <c r="D43" t="s">
        <v>4594</v>
      </c>
      <c r="E43" t="s">
        <v>4327</v>
      </c>
      <c r="F43" t="s">
        <v>4328</v>
      </c>
      <c r="G43" t="s">
        <v>4668</v>
      </c>
      <c r="H43">
        <f>--_xlfn.TEXTBEFORE(_xlfn.TEXTAFTER(Table5[[#This Row],[Name]],"-"),"_")</f>
        <v>104348</v>
      </c>
    </row>
    <row r="44" spans="1:8" x14ac:dyDescent="0.35">
      <c r="A44">
        <v>43</v>
      </c>
      <c r="C44" t="s">
        <v>4595</v>
      </c>
      <c r="D44" t="s">
        <v>4596</v>
      </c>
      <c r="E44" t="s">
        <v>4327</v>
      </c>
      <c r="F44" t="s">
        <v>4328</v>
      </c>
      <c r="G44" t="s">
        <v>4669</v>
      </c>
      <c r="H44">
        <f>--_xlfn.TEXTBEFORE(_xlfn.TEXTAFTER(Table5[[#This Row],[Name]],"-"),"_")</f>
        <v>104349</v>
      </c>
    </row>
    <row r="45" spans="1:8" x14ac:dyDescent="0.35">
      <c r="A45">
        <v>44</v>
      </c>
      <c r="C45" t="s">
        <v>4597</v>
      </c>
      <c r="D45" t="s">
        <v>4598</v>
      </c>
      <c r="E45" t="s">
        <v>4327</v>
      </c>
      <c r="F45" t="s">
        <v>4328</v>
      </c>
      <c r="G45" t="s">
        <v>4670</v>
      </c>
      <c r="H45">
        <f>--_xlfn.TEXTBEFORE(_xlfn.TEXTAFTER(Table5[[#This Row],[Name]],"-"),"_")</f>
        <v>103784</v>
      </c>
    </row>
    <row r="46" spans="1:8" x14ac:dyDescent="0.35">
      <c r="A46">
        <v>45</v>
      </c>
      <c r="C46" t="s">
        <v>4599</v>
      </c>
      <c r="D46" t="s">
        <v>4600</v>
      </c>
      <c r="E46" t="s">
        <v>4327</v>
      </c>
      <c r="F46" t="s">
        <v>4328</v>
      </c>
      <c r="G46" t="s">
        <v>4671</v>
      </c>
      <c r="H46">
        <f>--_xlfn.TEXTBEFORE(_xlfn.TEXTAFTER(Table5[[#This Row],[Name]],"-"),"_")</f>
        <v>104350</v>
      </c>
    </row>
    <row r="47" spans="1:8" x14ac:dyDescent="0.35">
      <c r="A47">
        <v>46</v>
      </c>
      <c r="C47" t="s">
        <v>4601</v>
      </c>
      <c r="D47" t="s">
        <v>4602</v>
      </c>
      <c r="E47" t="s">
        <v>4327</v>
      </c>
      <c r="F47" t="s">
        <v>4328</v>
      </c>
      <c r="G47" t="s">
        <v>4672</v>
      </c>
      <c r="H47">
        <f>--_xlfn.TEXTBEFORE(_xlfn.TEXTAFTER(Table5[[#This Row],[Name]],"-"),"_")</f>
        <v>102968</v>
      </c>
    </row>
    <row r="48" spans="1:8" x14ac:dyDescent="0.35">
      <c r="A48">
        <v>47</v>
      </c>
      <c r="C48" t="s">
        <v>4603</v>
      </c>
      <c r="D48" t="s">
        <v>4604</v>
      </c>
      <c r="E48" t="s">
        <v>4327</v>
      </c>
      <c r="F48" t="s">
        <v>4328</v>
      </c>
      <c r="G48" t="s">
        <v>4673</v>
      </c>
      <c r="H48">
        <f>--_xlfn.TEXTBEFORE(_xlfn.TEXTAFTER(Table5[[#This Row],[Name]],"-"),"_")</f>
        <v>102486</v>
      </c>
    </row>
    <row r="49" spans="1:8" x14ac:dyDescent="0.35">
      <c r="A49">
        <v>48</v>
      </c>
      <c r="C49" t="s">
        <v>4605</v>
      </c>
      <c r="D49" t="s">
        <v>4606</v>
      </c>
      <c r="E49" t="s">
        <v>4327</v>
      </c>
      <c r="F49" t="s">
        <v>4328</v>
      </c>
      <c r="G49" t="s">
        <v>4674</v>
      </c>
      <c r="H49">
        <f>--_xlfn.TEXTBEFORE(_xlfn.TEXTAFTER(Table5[[#This Row],[Name]],"-"),"_")</f>
        <v>104354</v>
      </c>
    </row>
    <row r="50" spans="1:8" x14ac:dyDescent="0.35">
      <c r="A50">
        <v>49</v>
      </c>
      <c r="C50" t="s">
        <v>4607</v>
      </c>
      <c r="D50" t="s">
        <v>4608</v>
      </c>
      <c r="E50" t="s">
        <v>4327</v>
      </c>
      <c r="F50" t="s">
        <v>4328</v>
      </c>
      <c r="G50" t="s">
        <v>4675</v>
      </c>
      <c r="H50">
        <f>--_xlfn.TEXTBEFORE(_xlfn.TEXTAFTER(Table5[[#This Row],[Name]],"-"),"_")</f>
        <v>104329</v>
      </c>
    </row>
    <row r="51" spans="1:8" x14ac:dyDescent="0.35">
      <c r="A51">
        <v>50</v>
      </c>
      <c r="C51" t="s">
        <v>4609</v>
      </c>
      <c r="D51" t="s">
        <v>4610</v>
      </c>
      <c r="E51" t="s">
        <v>4327</v>
      </c>
      <c r="F51" t="s">
        <v>4328</v>
      </c>
      <c r="G51" t="s">
        <v>4676</v>
      </c>
      <c r="H51">
        <f>--_xlfn.TEXTBEFORE(_xlfn.TEXTAFTER(Table5[[#This Row],[Name]],"-"),"_")</f>
        <v>101936</v>
      </c>
    </row>
    <row r="52" spans="1:8" x14ac:dyDescent="0.35">
      <c r="A52">
        <v>51</v>
      </c>
      <c r="C52" t="s">
        <v>4611</v>
      </c>
      <c r="D52" t="s">
        <v>4612</v>
      </c>
      <c r="E52" t="s">
        <v>4327</v>
      </c>
      <c r="F52" t="s">
        <v>4328</v>
      </c>
      <c r="G52" t="s">
        <v>4677</v>
      </c>
      <c r="H52">
        <f>--_xlfn.TEXTBEFORE(_xlfn.TEXTAFTER(Table5[[#This Row],[Name]],"-"),"_")</f>
        <v>104376</v>
      </c>
    </row>
    <row r="53" spans="1:8" x14ac:dyDescent="0.35">
      <c r="A53">
        <v>52</v>
      </c>
      <c r="C53" t="s">
        <v>4613</v>
      </c>
      <c r="D53" t="s">
        <v>4614</v>
      </c>
      <c r="E53" t="s">
        <v>4327</v>
      </c>
      <c r="F53" t="s">
        <v>4328</v>
      </c>
      <c r="G53" t="s">
        <v>4678</v>
      </c>
      <c r="H53">
        <f>--_xlfn.TEXTBEFORE(_xlfn.TEXTAFTER(Table5[[#This Row],[Name]],"-"),"_")</f>
        <v>103033</v>
      </c>
    </row>
    <row r="54" spans="1:8" x14ac:dyDescent="0.35">
      <c r="A54">
        <v>53</v>
      </c>
      <c r="C54" t="s">
        <v>4615</v>
      </c>
      <c r="D54" t="s">
        <v>4616</v>
      </c>
      <c r="E54" t="s">
        <v>4327</v>
      </c>
      <c r="F54" t="s">
        <v>4328</v>
      </c>
      <c r="G54" t="s">
        <v>4679</v>
      </c>
      <c r="H54">
        <f>--_xlfn.TEXTBEFORE(_xlfn.TEXTAFTER(Table5[[#This Row],[Name]],"-"),"_")</f>
        <v>104380</v>
      </c>
    </row>
    <row r="55" spans="1:8" x14ac:dyDescent="0.35">
      <c r="A55">
        <v>54</v>
      </c>
      <c r="C55" t="s">
        <v>4617</v>
      </c>
      <c r="D55" t="s">
        <v>4618</v>
      </c>
      <c r="E55" t="s">
        <v>4327</v>
      </c>
      <c r="F55" t="s">
        <v>4328</v>
      </c>
      <c r="G55" t="s">
        <v>4680</v>
      </c>
      <c r="H55">
        <f>--_xlfn.TEXTBEFORE(_xlfn.TEXTAFTER(Table5[[#This Row],[Name]],"-"),"_")</f>
        <v>104381</v>
      </c>
    </row>
    <row r="56" spans="1:8" x14ac:dyDescent="0.35">
      <c r="A56">
        <v>55</v>
      </c>
      <c r="C56" t="s">
        <v>4619</v>
      </c>
      <c r="D56" t="s">
        <v>4620</v>
      </c>
      <c r="E56" t="s">
        <v>4327</v>
      </c>
      <c r="F56" t="s">
        <v>4328</v>
      </c>
      <c r="G56" t="s">
        <v>4681</v>
      </c>
      <c r="H56">
        <f>--_xlfn.TEXTBEFORE(_xlfn.TEXTAFTER(Table5[[#This Row],[Name]],"-"),"_")</f>
        <v>104328</v>
      </c>
    </row>
    <row r="57" spans="1:8" x14ac:dyDescent="0.35">
      <c r="A57">
        <v>56</v>
      </c>
      <c r="C57" t="s">
        <v>4621</v>
      </c>
      <c r="D57" t="s">
        <v>4622</v>
      </c>
      <c r="E57" t="s">
        <v>4327</v>
      </c>
      <c r="F57" t="s">
        <v>4328</v>
      </c>
      <c r="G57" t="s">
        <v>4682</v>
      </c>
      <c r="H57">
        <f>--_xlfn.TEXTBEFORE(_xlfn.TEXTAFTER(Table5[[#This Row],[Name]],"-"),"_")</f>
        <v>101636</v>
      </c>
    </row>
    <row r="58" spans="1:8" x14ac:dyDescent="0.35">
      <c r="A58">
        <v>57</v>
      </c>
      <c r="C58" t="s">
        <v>4623</v>
      </c>
      <c r="D58" t="s">
        <v>4624</v>
      </c>
      <c r="E58" t="s">
        <v>4327</v>
      </c>
      <c r="F58" t="s">
        <v>4328</v>
      </c>
      <c r="G58" t="s">
        <v>4683</v>
      </c>
      <c r="H58">
        <f>--_xlfn.TEXTBEFORE(_xlfn.TEXTAFTER(Table5[[#This Row],[Name]],"-"),"_")</f>
        <v>104384</v>
      </c>
    </row>
    <row r="59" spans="1:8" x14ac:dyDescent="0.35">
      <c r="A59">
        <v>58</v>
      </c>
      <c r="C59" t="s">
        <v>4625</v>
      </c>
      <c r="D59" t="s">
        <v>4626</v>
      </c>
      <c r="E59" t="s">
        <v>4327</v>
      </c>
      <c r="F59" t="s">
        <v>4328</v>
      </c>
      <c r="G59" t="s">
        <v>4684</v>
      </c>
      <c r="H59">
        <f>--_xlfn.TEXTBEFORE(_xlfn.TEXTAFTER(Table5[[#This Row],[Name]],"-"),"_")</f>
        <v>107777</v>
      </c>
    </row>
    <row r="60" spans="1:8" x14ac:dyDescent="0.35">
      <c r="A60">
        <v>59</v>
      </c>
      <c r="C60" t="s">
        <v>4423</v>
      </c>
      <c r="D60" t="s">
        <v>4424</v>
      </c>
      <c r="E60" t="s">
        <v>4327</v>
      </c>
      <c r="F60" t="s">
        <v>4328</v>
      </c>
      <c r="G60" t="s">
        <v>4497</v>
      </c>
      <c r="H60">
        <f>--_xlfn.TEXTBEFORE(_xlfn.TEXTAFTER(Table5[[#This Row],[Name]],"-"),"_")</f>
        <v>103573</v>
      </c>
    </row>
    <row r="61" spans="1:8" x14ac:dyDescent="0.35">
      <c r="A61">
        <v>60</v>
      </c>
      <c r="C61" t="s">
        <v>4329</v>
      </c>
      <c r="D61" t="s">
        <v>4330</v>
      </c>
      <c r="E61" t="s">
        <v>4327</v>
      </c>
      <c r="F61" t="s">
        <v>4328</v>
      </c>
      <c r="G61" t="s">
        <v>4450</v>
      </c>
      <c r="H61">
        <f>--_xlfn.TEXTBEFORE(_xlfn.TEXTAFTER(Table5[[#This Row],[Name]],"-"),"_")</f>
        <v>103172</v>
      </c>
    </row>
  </sheetData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EF09-9931-4AF9-AA68-5311A912237B}">
  <dimension ref="A1:G150"/>
  <sheetViews>
    <sheetView topLeftCell="A15" workbookViewId="0">
      <selection activeCell="F36" sqref="F36"/>
    </sheetView>
  </sheetViews>
  <sheetFormatPr defaultRowHeight="14.5" x14ac:dyDescent="0.35"/>
  <cols>
    <col min="1" max="1" width="56.36328125" bestFit="1" customWidth="1"/>
    <col min="2" max="2" width="12.54296875" bestFit="1" customWidth="1"/>
    <col min="3" max="3" width="92.81640625" bestFit="1" customWidth="1"/>
    <col min="4" max="4" width="15.1796875" bestFit="1" customWidth="1"/>
    <col min="5" max="5" width="75.1796875" bestFit="1" customWidth="1"/>
    <col min="6" max="6" width="44" bestFit="1" customWidth="1"/>
    <col min="7" max="7" width="19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5">
      <c r="A2" t="s">
        <v>7</v>
      </c>
      <c r="C2" t="s">
        <v>8</v>
      </c>
      <c r="G2" t="s">
        <v>9</v>
      </c>
    </row>
    <row r="3" spans="1:7" hidden="1" x14ac:dyDescent="0.35">
      <c r="A3" t="s">
        <v>10</v>
      </c>
      <c r="C3" t="s">
        <v>11</v>
      </c>
      <c r="G3" t="s">
        <v>9</v>
      </c>
    </row>
    <row r="4" spans="1:7" x14ac:dyDescent="0.35">
      <c r="A4" t="s">
        <v>12</v>
      </c>
      <c r="B4">
        <v>102797</v>
      </c>
      <c r="C4" t="s">
        <v>13</v>
      </c>
      <c r="D4" t="s">
        <v>13</v>
      </c>
      <c r="E4" t="s">
        <v>14</v>
      </c>
      <c r="F4" t="s">
        <v>15</v>
      </c>
      <c r="G4" t="s">
        <v>16</v>
      </c>
    </row>
    <row r="5" spans="1:7" x14ac:dyDescent="0.35">
      <c r="A5" t="s">
        <v>17</v>
      </c>
      <c r="B5">
        <v>104392</v>
      </c>
      <c r="C5" t="s">
        <v>18</v>
      </c>
      <c r="D5" t="s">
        <v>18</v>
      </c>
      <c r="E5" t="s">
        <v>19</v>
      </c>
      <c r="F5" t="s">
        <v>20</v>
      </c>
      <c r="G5" t="s">
        <v>16</v>
      </c>
    </row>
    <row r="6" spans="1:7" hidden="1" x14ac:dyDescent="0.35">
      <c r="A6" t="s">
        <v>21</v>
      </c>
      <c r="C6" t="s">
        <v>22</v>
      </c>
      <c r="G6" t="s">
        <v>9</v>
      </c>
    </row>
    <row r="7" spans="1:7" x14ac:dyDescent="0.35">
      <c r="A7" t="s">
        <v>23</v>
      </c>
      <c r="B7">
        <v>104390</v>
      </c>
      <c r="C7" t="s">
        <v>24</v>
      </c>
      <c r="D7" t="s">
        <v>24</v>
      </c>
      <c r="E7" t="s">
        <v>25</v>
      </c>
      <c r="F7" t="s">
        <v>26</v>
      </c>
      <c r="G7" t="s">
        <v>16</v>
      </c>
    </row>
    <row r="8" spans="1:7" x14ac:dyDescent="0.35">
      <c r="A8" t="s">
        <v>27</v>
      </c>
      <c r="B8">
        <v>101243</v>
      </c>
      <c r="C8" t="s">
        <v>28</v>
      </c>
      <c r="D8" t="s">
        <v>28</v>
      </c>
      <c r="E8" t="s">
        <v>29</v>
      </c>
      <c r="F8" t="s">
        <v>30</v>
      </c>
      <c r="G8" t="s">
        <v>16</v>
      </c>
    </row>
    <row r="9" spans="1:7" x14ac:dyDescent="0.35">
      <c r="A9" t="s">
        <v>31</v>
      </c>
      <c r="B9">
        <v>104104</v>
      </c>
      <c r="C9" t="s">
        <v>32</v>
      </c>
      <c r="D9" t="s">
        <v>32</v>
      </c>
      <c r="E9" t="s">
        <v>33</v>
      </c>
      <c r="F9" t="s">
        <v>34</v>
      </c>
      <c r="G9" t="s">
        <v>16</v>
      </c>
    </row>
    <row r="10" spans="1:7" x14ac:dyDescent="0.35">
      <c r="A10" t="s">
        <v>35</v>
      </c>
      <c r="B10">
        <v>104218</v>
      </c>
      <c r="C10" t="s">
        <v>36</v>
      </c>
      <c r="D10" t="s">
        <v>36</v>
      </c>
      <c r="E10" t="s">
        <v>37</v>
      </c>
      <c r="F10" t="s">
        <v>38</v>
      </c>
      <c r="G10" t="s">
        <v>16</v>
      </c>
    </row>
    <row r="11" spans="1:7" x14ac:dyDescent="0.35">
      <c r="A11" t="s">
        <v>39</v>
      </c>
      <c r="B11">
        <v>103899</v>
      </c>
      <c r="C11" t="s">
        <v>40</v>
      </c>
      <c r="D11" t="s">
        <v>40</v>
      </c>
      <c r="E11" t="s">
        <v>41</v>
      </c>
      <c r="F11" t="s">
        <v>42</v>
      </c>
      <c r="G11" t="s">
        <v>16</v>
      </c>
    </row>
    <row r="12" spans="1:7" x14ac:dyDescent="0.35">
      <c r="A12" t="s">
        <v>43</v>
      </c>
      <c r="B12">
        <v>104402</v>
      </c>
      <c r="C12" t="s">
        <v>44</v>
      </c>
      <c r="D12" t="s">
        <v>44</v>
      </c>
      <c r="E12" t="s">
        <v>45</v>
      </c>
      <c r="F12" t="s">
        <v>46</v>
      </c>
      <c r="G12" t="s">
        <v>16</v>
      </c>
    </row>
    <row r="13" spans="1:7" x14ac:dyDescent="0.35">
      <c r="A13" t="s">
        <v>47</v>
      </c>
      <c r="B13">
        <v>103313</v>
      </c>
      <c r="C13" t="s">
        <v>48</v>
      </c>
      <c r="D13" t="s">
        <v>48</v>
      </c>
      <c r="E13" t="s">
        <v>49</v>
      </c>
      <c r="F13" t="s">
        <v>50</v>
      </c>
      <c r="G13" t="s">
        <v>16</v>
      </c>
    </row>
    <row r="14" spans="1:7" x14ac:dyDescent="0.35">
      <c r="A14" t="s">
        <v>51</v>
      </c>
      <c r="B14">
        <v>666666</v>
      </c>
      <c r="C14" t="s">
        <v>52</v>
      </c>
      <c r="D14" t="s">
        <v>52</v>
      </c>
      <c r="E14" t="s">
        <v>53</v>
      </c>
      <c r="F14" t="s">
        <v>54</v>
      </c>
      <c r="G14" t="s">
        <v>16</v>
      </c>
    </row>
    <row r="15" spans="1:7" x14ac:dyDescent="0.35">
      <c r="A15" t="s">
        <v>55</v>
      </c>
      <c r="B15">
        <v>101054</v>
      </c>
      <c r="C15" t="s">
        <v>56</v>
      </c>
      <c r="D15" t="s">
        <v>57</v>
      </c>
      <c r="E15" t="s">
        <v>58</v>
      </c>
      <c r="F15" t="s">
        <v>59</v>
      </c>
      <c r="G15" t="s">
        <v>60</v>
      </c>
    </row>
    <row r="16" spans="1:7" x14ac:dyDescent="0.35">
      <c r="A16" t="s">
        <v>61</v>
      </c>
      <c r="B16">
        <v>103757</v>
      </c>
      <c r="C16" t="s">
        <v>62</v>
      </c>
      <c r="D16" t="s">
        <v>62</v>
      </c>
      <c r="E16" t="s">
        <v>63</v>
      </c>
      <c r="F16" t="s">
        <v>64</v>
      </c>
      <c r="G16" t="s">
        <v>16</v>
      </c>
    </row>
    <row r="17" spans="1:7" x14ac:dyDescent="0.35">
      <c r="A17" t="s">
        <v>65</v>
      </c>
      <c r="B17">
        <v>104397</v>
      </c>
      <c r="C17" t="s">
        <v>66</v>
      </c>
      <c r="D17" t="s">
        <v>66</v>
      </c>
      <c r="E17" t="s">
        <v>67</v>
      </c>
      <c r="F17" t="s">
        <v>68</v>
      </c>
      <c r="G17" t="s">
        <v>16</v>
      </c>
    </row>
    <row r="18" spans="1:7" x14ac:dyDescent="0.35">
      <c r="A18" t="s">
        <v>69</v>
      </c>
      <c r="B18">
        <v>103318</v>
      </c>
      <c r="C18" t="s">
        <v>70</v>
      </c>
      <c r="D18" t="s">
        <v>70</v>
      </c>
      <c r="E18" t="s">
        <v>71</v>
      </c>
      <c r="F18" t="s">
        <v>72</v>
      </c>
      <c r="G18" t="s">
        <v>16</v>
      </c>
    </row>
    <row r="19" spans="1:7" hidden="1" x14ac:dyDescent="0.35">
      <c r="A19" t="s">
        <v>73</v>
      </c>
      <c r="B19">
        <v>0</v>
      </c>
      <c r="C19" t="s">
        <v>74</v>
      </c>
      <c r="G19" t="s">
        <v>75</v>
      </c>
    </row>
    <row r="20" spans="1:7" hidden="1" x14ac:dyDescent="0.35">
      <c r="A20" t="s">
        <v>76</v>
      </c>
      <c r="B20">
        <v>0</v>
      </c>
      <c r="C20" t="s">
        <v>77</v>
      </c>
      <c r="G20" t="s">
        <v>75</v>
      </c>
    </row>
    <row r="21" spans="1:7" x14ac:dyDescent="0.35">
      <c r="A21" t="s">
        <v>78</v>
      </c>
      <c r="B21">
        <v>101056</v>
      </c>
      <c r="C21" t="s">
        <v>79</v>
      </c>
      <c r="D21" t="s">
        <v>80</v>
      </c>
      <c r="E21" t="s">
        <v>81</v>
      </c>
      <c r="F21" t="s">
        <v>82</v>
      </c>
      <c r="G21" t="s">
        <v>60</v>
      </c>
    </row>
    <row r="22" spans="1:7" x14ac:dyDescent="0.35">
      <c r="A22" t="s">
        <v>83</v>
      </c>
      <c r="B22">
        <v>102726</v>
      </c>
      <c r="C22" t="s">
        <v>84</v>
      </c>
      <c r="D22" t="s">
        <v>84</v>
      </c>
      <c r="E22" t="s">
        <v>85</v>
      </c>
      <c r="F22" t="s">
        <v>86</v>
      </c>
      <c r="G22" t="s">
        <v>16</v>
      </c>
    </row>
    <row r="23" spans="1:7" x14ac:dyDescent="0.35">
      <c r="A23" t="s">
        <v>87</v>
      </c>
      <c r="B23">
        <v>101803</v>
      </c>
      <c r="C23" t="s">
        <v>88</v>
      </c>
      <c r="D23" t="s">
        <v>88</v>
      </c>
      <c r="E23" t="s">
        <v>89</v>
      </c>
      <c r="F23" t="s">
        <v>90</v>
      </c>
      <c r="G23" t="s">
        <v>16</v>
      </c>
    </row>
    <row r="24" spans="1:7" hidden="1" x14ac:dyDescent="0.35">
      <c r="A24" t="s">
        <v>91</v>
      </c>
      <c r="B24">
        <v>0</v>
      </c>
      <c r="C24" t="s">
        <v>92</v>
      </c>
      <c r="G24" t="s">
        <v>75</v>
      </c>
    </row>
    <row r="25" spans="1:7" hidden="1" x14ac:dyDescent="0.35">
      <c r="A25" t="s">
        <v>93</v>
      </c>
      <c r="B25">
        <v>0</v>
      </c>
      <c r="C25" t="s">
        <v>94</v>
      </c>
      <c r="G25" t="s">
        <v>75</v>
      </c>
    </row>
    <row r="26" spans="1:7" x14ac:dyDescent="0.35">
      <c r="A26" t="s">
        <v>95</v>
      </c>
      <c r="B26">
        <v>101620</v>
      </c>
      <c r="C26" t="s">
        <v>96</v>
      </c>
      <c r="D26" t="s">
        <v>96</v>
      </c>
      <c r="E26" t="s">
        <v>97</v>
      </c>
      <c r="F26" t="s">
        <v>98</v>
      </c>
      <c r="G26" t="s">
        <v>16</v>
      </c>
    </row>
    <row r="27" spans="1:7" x14ac:dyDescent="0.35">
      <c r="A27" t="s">
        <v>99</v>
      </c>
      <c r="B27">
        <v>104260</v>
      </c>
      <c r="C27" t="s">
        <v>100</v>
      </c>
      <c r="D27" t="s">
        <v>100</v>
      </c>
      <c r="E27" t="s">
        <v>101</v>
      </c>
      <c r="F27" t="s">
        <v>102</v>
      </c>
      <c r="G27" t="s">
        <v>16</v>
      </c>
    </row>
    <row r="28" spans="1:7" x14ac:dyDescent="0.35">
      <c r="A28" t="s">
        <v>103</v>
      </c>
      <c r="B28">
        <v>104408</v>
      </c>
      <c r="C28" t="s">
        <v>104</v>
      </c>
      <c r="D28" t="s">
        <v>104</v>
      </c>
      <c r="E28" t="s">
        <v>105</v>
      </c>
      <c r="F28" t="s">
        <v>106</v>
      </c>
      <c r="G28" t="s">
        <v>16</v>
      </c>
    </row>
    <row r="29" spans="1:7" hidden="1" x14ac:dyDescent="0.35">
      <c r="A29" t="s">
        <v>107</v>
      </c>
      <c r="B29">
        <v>0</v>
      </c>
      <c r="C29" t="s">
        <v>108</v>
      </c>
      <c r="G29" t="s">
        <v>75</v>
      </c>
    </row>
    <row r="30" spans="1:7" x14ac:dyDescent="0.35">
      <c r="A30" t="s">
        <v>109</v>
      </c>
      <c r="B30">
        <v>101757</v>
      </c>
      <c r="C30" t="s">
        <v>110</v>
      </c>
      <c r="D30" t="s">
        <v>110</v>
      </c>
      <c r="E30" t="s">
        <v>111</v>
      </c>
      <c r="F30" t="s">
        <v>112</v>
      </c>
      <c r="G30" t="s">
        <v>16</v>
      </c>
    </row>
    <row r="31" spans="1:7" x14ac:dyDescent="0.35">
      <c r="A31" t="s">
        <v>113</v>
      </c>
      <c r="B31">
        <v>103648</v>
      </c>
      <c r="C31" t="s">
        <v>114</v>
      </c>
      <c r="G31" t="s">
        <v>75</v>
      </c>
    </row>
    <row r="32" spans="1:7" x14ac:dyDescent="0.35">
      <c r="A32" t="s">
        <v>115</v>
      </c>
      <c r="B32">
        <v>101083</v>
      </c>
      <c r="C32" t="s">
        <v>116</v>
      </c>
      <c r="D32" t="s">
        <v>116</v>
      </c>
      <c r="E32" t="s">
        <v>117</v>
      </c>
      <c r="F32" t="s">
        <v>118</v>
      </c>
      <c r="G32" t="s">
        <v>16</v>
      </c>
    </row>
    <row r="33" spans="1:7" x14ac:dyDescent="0.35">
      <c r="A33" t="s">
        <v>119</v>
      </c>
      <c r="B33">
        <v>103628</v>
      </c>
      <c r="C33" t="s">
        <v>120</v>
      </c>
      <c r="D33" t="s">
        <v>120</v>
      </c>
      <c r="E33" t="s">
        <v>121</v>
      </c>
      <c r="F33" t="s">
        <v>122</v>
      </c>
      <c r="G33" t="s">
        <v>16</v>
      </c>
    </row>
    <row r="34" spans="1:7" x14ac:dyDescent="0.35">
      <c r="A34" t="s">
        <v>123</v>
      </c>
      <c r="B34">
        <v>103649</v>
      </c>
      <c r="C34" t="s">
        <v>124</v>
      </c>
      <c r="D34" t="s">
        <v>124</v>
      </c>
      <c r="E34" t="s">
        <v>125</v>
      </c>
      <c r="F34" t="s">
        <v>126</v>
      </c>
      <c r="G34" t="s">
        <v>16</v>
      </c>
    </row>
    <row r="35" spans="1:7" x14ac:dyDescent="0.35">
      <c r="A35" t="s">
        <v>127</v>
      </c>
      <c r="B35">
        <v>101963</v>
      </c>
      <c r="C35" t="s">
        <v>128</v>
      </c>
      <c r="D35" t="s">
        <v>128</v>
      </c>
      <c r="E35" t="s">
        <v>129</v>
      </c>
      <c r="F35" t="s">
        <v>130</v>
      </c>
      <c r="G35" t="s">
        <v>16</v>
      </c>
    </row>
    <row r="36" spans="1:7" x14ac:dyDescent="0.35">
      <c r="A36" t="s">
        <v>131</v>
      </c>
      <c r="B36">
        <v>101929</v>
      </c>
      <c r="C36" t="s">
        <v>132</v>
      </c>
      <c r="D36" t="s">
        <v>132</v>
      </c>
      <c r="E36" t="s">
        <v>133</v>
      </c>
      <c r="F36" t="s">
        <v>134</v>
      </c>
      <c r="G36" t="s">
        <v>16</v>
      </c>
    </row>
    <row r="37" spans="1:7" x14ac:dyDescent="0.35">
      <c r="A37" t="s">
        <v>135</v>
      </c>
      <c r="B37">
        <v>101024</v>
      </c>
      <c r="C37" t="s">
        <v>136</v>
      </c>
      <c r="D37" t="s">
        <v>136</v>
      </c>
      <c r="E37" t="s">
        <v>137</v>
      </c>
      <c r="F37" t="s">
        <v>138</v>
      </c>
      <c r="G37" t="s">
        <v>16</v>
      </c>
    </row>
    <row r="38" spans="1:7" x14ac:dyDescent="0.35">
      <c r="A38" t="s">
        <v>139</v>
      </c>
      <c r="B38">
        <v>102283</v>
      </c>
      <c r="C38" t="s">
        <v>140</v>
      </c>
      <c r="D38" t="s">
        <v>140</v>
      </c>
      <c r="E38" t="s">
        <v>141</v>
      </c>
      <c r="F38" t="s">
        <v>142</v>
      </c>
      <c r="G38" t="s">
        <v>16</v>
      </c>
    </row>
    <row r="39" spans="1:7" x14ac:dyDescent="0.35">
      <c r="A39" t="s">
        <v>143</v>
      </c>
      <c r="B39">
        <v>103197</v>
      </c>
      <c r="C39" t="s">
        <v>144</v>
      </c>
      <c r="D39" t="s">
        <v>144</v>
      </c>
      <c r="E39" t="s">
        <v>145</v>
      </c>
      <c r="F39" t="s">
        <v>146</v>
      </c>
      <c r="G39" t="s">
        <v>16</v>
      </c>
    </row>
    <row r="40" spans="1:7" x14ac:dyDescent="0.35">
      <c r="A40" t="s">
        <v>147</v>
      </c>
      <c r="B40">
        <v>102613</v>
      </c>
      <c r="C40" t="s">
        <v>148</v>
      </c>
      <c r="D40" t="s">
        <v>148</v>
      </c>
      <c r="E40" t="s">
        <v>149</v>
      </c>
      <c r="F40" t="s">
        <v>150</v>
      </c>
      <c r="G40" t="s">
        <v>16</v>
      </c>
    </row>
    <row r="41" spans="1:7" x14ac:dyDescent="0.35">
      <c r="A41" t="s">
        <v>151</v>
      </c>
      <c r="B41">
        <v>104095</v>
      </c>
      <c r="C41" t="s">
        <v>152</v>
      </c>
      <c r="D41" t="s">
        <v>152</v>
      </c>
      <c r="E41" t="s">
        <v>153</v>
      </c>
      <c r="F41" t="s">
        <v>154</v>
      </c>
      <c r="G41" t="s">
        <v>16</v>
      </c>
    </row>
    <row r="42" spans="1:7" x14ac:dyDescent="0.35">
      <c r="A42" t="s">
        <v>155</v>
      </c>
      <c r="B42">
        <v>104096</v>
      </c>
      <c r="C42" t="s">
        <v>156</v>
      </c>
      <c r="D42" t="s">
        <v>156</v>
      </c>
      <c r="E42" t="s">
        <v>157</v>
      </c>
      <c r="F42" t="s">
        <v>158</v>
      </c>
      <c r="G42" t="s">
        <v>16</v>
      </c>
    </row>
    <row r="43" spans="1:7" x14ac:dyDescent="0.35">
      <c r="A43" t="s">
        <v>159</v>
      </c>
      <c r="B43">
        <v>102479</v>
      </c>
      <c r="C43" t="s">
        <v>160</v>
      </c>
      <c r="D43" t="s">
        <v>160</v>
      </c>
      <c r="E43" t="s">
        <v>161</v>
      </c>
      <c r="F43" t="s">
        <v>162</v>
      </c>
      <c r="G43" t="s">
        <v>16</v>
      </c>
    </row>
    <row r="44" spans="1:7" x14ac:dyDescent="0.35">
      <c r="A44" t="s">
        <v>163</v>
      </c>
      <c r="B44">
        <v>103100</v>
      </c>
      <c r="C44" t="s">
        <v>164</v>
      </c>
      <c r="D44" t="s">
        <v>164</v>
      </c>
      <c r="E44" t="s">
        <v>165</v>
      </c>
      <c r="F44" t="s">
        <v>166</v>
      </c>
      <c r="G44" t="s">
        <v>16</v>
      </c>
    </row>
    <row r="45" spans="1:7" x14ac:dyDescent="0.35">
      <c r="A45" t="s">
        <v>167</v>
      </c>
      <c r="B45">
        <v>103999</v>
      </c>
      <c r="C45" t="s">
        <v>168</v>
      </c>
      <c r="D45" t="s">
        <v>168</v>
      </c>
      <c r="E45" t="s">
        <v>169</v>
      </c>
      <c r="F45" t="s">
        <v>170</v>
      </c>
      <c r="G45" t="s">
        <v>16</v>
      </c>
    </row>
    <row r="46" spans="1:7" x14ac:dyDescent="0.35">
      <c r="A46" t="s">
        <v>171</v>
      </c>
      <c r="B46">
        <v>107777</v>
      </c>
      <c r="C46" t="s">
        <v>172</v>
      </c>
      <c r="D46" t="s">
        <v>172</v>
      </c>
      <c r="E46" t="s">
        <v>173</v>
      </c>
      <c r="F46" t="s">
        <v>174</v>
      </c>
      <c r="G46" t="s">
        <v>16</v>
      </c>
    </row>
    <row r="47" spans="1:7" x14ac:dyDescent="0.35">
      <c r="A47" t="s">
        <v>175</v>
      </c>
      <c r="B47">
        <v>103106</v>
      </c>
      <c r="C47" t="s">
        <v>176</v>
      </c>
      <c r="D47" t="s">
        <v>176</v>
      </c>
      <c r="E47" t="s">
        <v>177</v>
      </c>
      <c r="F47" t="s">
        <v>178</v>
      </c>
      <c r="G47" t="s">
        <v>16</v>
      </c>
    </row>
    <row r="48" spans="1:7" x14ac:dyDescent="0.35">
      <c r="A48" t="s">
        <v>179</v>
      </c>
      <c r="B48">
        <v>101855</v>
      </c>
      <c r="C48" t="s">
        <v>180</v>
      </c>
      <c r="D48" t="s">
        <v>180</v>
      </c>
      <c r="E48" t="s">
        <v>181</v>
      </c>
      <c r="F48" t="s">
        <v>182</v>
      </c>
      <c r="G48" t="s">
        <v>16</v>
      </c>
    </row>
    <row r="49" spans="1:7" x14ac:dyDescent="0.35">
      <c r="A49" t="s">
        <v>183</v>
      </c>
      <c r="B49">
        <v>101858</v>
      </c>
      <c r="C49" t="s">
        <v>184</v>
      </c>
      <c r="D49" t="s">
        <v>184</v>
      </c>
      <c r="E49" t="s">
        <v>185</v>
      </c>
      <c r="F49" t="s">
        <v>186</v>
      </c>
      <c r="G49" t="s">
        <v>16</v>
      </c>
    </row>
    <row r="50" spans="1:7" x14ac:dyDescent="0.35">
      <c r="A50" t="s">
        <v>187</v>
      </c>
      <c r="B50">
        <v>101856</v>
      </c>
      <c r="C50" t="s">
        <v>188</v>
      </c>
      <c r="D50" t="s">
        <v>188</v>
      </c>
      <c r="E50" t="s">
        <v>189</v>
      </c>
      <c r="F50" t="s">
        <v>190</v>
      </c>
      <c r="G50" t="s">
        <v>16</v>
      </c>
    </row>
    <row r="51" spans="1:7" x14ac:dyDescent="0.35">
      <c r="A51" t="s">
        <v>191</v>
      </c>
      <c r="B51">
        <v>101891</v>
      </c>
      <c r="C51" t="s">
        <v>192</v>
      </c>
      <c r="D51" t="s">
        <v>192</v>
      </c>
      <c r="E51" t="s">
        <v>193</v>
      </c>
      <c r="F51" t="s">
        <v>194</v>
      </c>
      <c r="G51" t="s">
        <v>16</v>
      </c>
    </row>
    <row r="52" spans="1:7" x14ac:dyDescent="0.35">
      <c r="A52" t="s">
        <v>195</v>
      </c>
      <c r="B52">
        <v>101857</v>
      </c>
      <c r="C52" t="s">
        <v>196</v>
      </c>
      <c r="D52" t="s">
        <v>196</v>
      </c>
      <c r="E52" t="s">
        <v>197</v>
      </c>
      <c r="F52" t="s">
        <v>198</v>
      </c>
      <c r="G52" t="s">
        <v>16</v>
      </c>
    </row>
    <row r="53" spans="1:7" x14ac:dyDescent="0.35">
      <c r="A53" t="s">
        <v>199</v>
      </c>
      <c r="B53">
        <v>101202</v>
      </c>
      <c r="C53" t="s">
        <v>200</v>
      </c>
      <c r="D53" t="s">
        <v>200</v>
      </c>
      <c r="E53" t="s">
        <v>201</v>
      </c>
      <c r="F53" t="s">
        <v>202</v>
      </c>
      <c r="G53" t="s">
        <v>16</v>
      </c>
    </row>
    <row r="54" spans="1:7" x14ac:dyDescent="0.35">
      <c r="A54" t="s">
        <v>203</v>
      </c>
      <c r="B54">
        <v>102080</v>
      </c>
      <c r="C54" t="s">
        <v>204</v>
      </c>
      <c r="D54" t="s">
        <v>204</v>
      </c>
      <c r="E54" t="s">
        <v>205</v>
      </c>
      <c r="F54" t="s">
        <v>206</v>
      </c>
      <c r="G54" t="s">
        <v>16</v>
      </c>
    </row>
    <row r="55" spans="1:7" x14ac:dyDescent="0.35">
      <c r="A55" t="s">
        <v>207</v>
      </c>
      <c r="B55">
        <v>104026</v>
      </c>
      <c r="C55" t="s">
        <v>208</v>
      </c>
      <c r="D55" t="s">
        <v>208</v>
      </c>
      <c r="E55" t="s">
        <v>209</v>
      </c>
      <c r="F55" t="s">
        <v>210</v>
      </c>
      <c r="G55" t="s">
        <v>16</v>
      </c>
    </row>
    <row r="56" spans="1:7" x14ac:dyDescent="0.35">
      <c r="A56" t="s">
        <v>211</v>
      </c>
      <c r="B56">
        <v>101133</v>
      </c>
      <c r="C56" t="s">
        <v>212</v>
      </c>
      <c r="D56" t="s">
        <v>212</v>
      </c>
      <c r="E56" t="s">
        <v>213</v>
      </c>
      <c r="F56" t="s">
        <v>214</v>
      </c>
      <c r="G56" t="s">
        <v>16</v>
      </c>
    </row>
    <row r="57" spans="1:7" x14ac:dyDescent="0.35">
      <c r="A57" t="s">
        <v>215</v>
      </c>
      <c r="B57">
        <v>104142</v>
      </c>
      <c r="C57" t="s">
        <v>216</v>
      </c>
      <c r="D57" t="s">
        <v>216</v>
      </c>
      <c r="E57" t="s">
        <v>217</v>
      </c>
      <c r="F57" t="s">
        <v>218</v>
      </c>
      <c r="G57" t="s">
        <v>16</v>
      </c>
    </row>
    <row r="58" spans="1:7" x14ac:dyDescent="0.35">
      <c r="A58" t="s">
        <v>219</v>
      </c>
      <c r="B58">
        <v>103149</v>
      </c>
      <c r="C58" t="s">
        <v>220</v>
      </c>
      <c r="D58" t="s">
        <v>220</v>
      </c>
      <c r="E58" t="s">
        <v>221</v>
      </c>
      <c r="F58" t="s">
        <v>222</v>
      </c>
      <c r="G58" t="s">
        <v>16</v>
      </c>
    </row>
    <row r="59" spans="1:7" x14ac:dyDescent="0.35">
      <c r="A59" t="s">
        <v>223</v>
      </c>
      <c r="B59">
        <v>101522</v>
      </c>
      <c r="C59" t="s">
        <v>224</v>
      </c>
      <c r="D59" t="s">
        <v>224</v>
      </c>
      <c r="E59" t="s">
        <v>225</v>
      </c>
      <c r="F59" t="s">
        <v>226</v>
      </c>
      <c r="G59" t="s">
        <v>16</v>
      </c>
    </row>
    <row r="60" spans="1:7" x14ac:dyDescent="0.35">
      <c r="A60" t="s">
        <v>227</v>
      </c>
      <c r="B60">
        <v>103088</v>
      </c>
      <c r="C60" t="s">
        <v>228</v>
      </c>
      <c r="D60" t="s">
        <v>228</v>
      </c>
      <c r="E60" t="s">
        <v>229</v>
      </c>
      <c r="F60" t="s">
        <v>230</v>
      </c>
      <c r="G60" t="s">
        <v>16</v>
      </c>
    </row>
    <row r="61" spans="1:7" x14ac:dyDescent="0.35">
      <c r="A61" t="s">
        <v>231</v>
      </c>
      <c r="B61">
        <v>103779</v>
      </c>
      <c r="C61" t="s">
        <v>232</v>
      </c>
      <c r="D61" t="s">
        <v>232</v>
      </c>
      <c r="E61" t="s">
        <v>233</v>
      </c>
      <c r="F61" t="s">
        <v>234</v>
      </c>
      <c r="G61" t="s">
        <v>16</v>
      </c>
    </row>
    <row r="62" spans="1:7" x14ac:dyDescent="0.35">
      <c r="A62" t="s">
        <v>235</v>
      </c>
      <c r="B62">
        <v>102115</v>
      </c>
      <c r="C62" t="s">
        <v>236</v>
      </c>
      <c r="D62" t="s">
        <v>237</v>
      </c>
      <c r="E62" t="s">
        <v>238</v>
      </c>
      <c r="F62" t="s">
        <v>239</v>
      </c>
      <c r="G62" t="s">
        <v>60</v>
      </c>
    </row>
    <row r="63" spans="1:7" x14ac:dyDescent="0.35">
      <c r="A63" t="s">
        <v>240</v>
      </c>
      <c r="B63">
        <v>104008</v>
      </c>
      <c r="C63" t="s">
        <v>241</v>
      </c>
      <c r="D63" t="s">
        <v>241</v>
      </c>
      <c r="E63" t="s">
        <v>242</v>
      </c>
      <c r="F63" t="s">
        <v>243</v>
      </c>
      <c r="G63" t="s">
        <v>16</v>
      </c>
    </row>
    <row r="64" spans="1:7" x14ac:dyDescent="0.35">
      <c r="A64" t="s">
        <v>244</v>
      </c>
      <c r="B64">
        <v>102686</v>
      </c>
      <c r="C64" t="s">
        <v>245</v>
      </c>
      <c r="D64" t="s">
        <v>245</v>
      </c>
      <c r="E64" t="s">
        <v>246</v>
      </c>
      <c r="F64" t="s">
        <v>247</v>
      </c>
      <c r="G64" t="s">
        <v>16</v>
      </c>
    </row>
    <row r="65" spans="1:7" x14ac:dyDescent="0.35">
      <c r="A65" t="s">
        <v>248</v>
      </c>
      <c r="B65">
        <v>103203</v>
      </c>
      <c r="C65" t="s">
        <v>249</v>
      </c>
      <c r="D65" t="s">
        <v>249</v>
      </c>
      <c r="E65" t="s">
        <v>250</v>
      </c>
      <c r="F65" t="s">
        <v>251</v>
      </c>
      <c r="G65" t="s">
        <v>16</v>
      </c>
    </row>
    <row r="66" spans="1:7" x14ac:dyDescent="0.35">
      <c r="A66" t="s">
        <v>252</v>
      </c>
      <c r="B66">
        <v>102329</v>
      </c>
      <c r="C66" t="s">
        <v>253</v>
      </c>
      <c r="D66" t="s">
        <v>253</v>
      </c>
      <c r="E66" t="s">
        <v>254</v>
      </c>
      <c r="F66" t="s">
        <v>255</v>
      </c>
      <c r="G66" t="s">
        <v>16</v>
      </c>
    </row>
    <row r="67" spans="1:7" x14ac:dyDescent="0.35">
      <c r="A67" t="s">
        <v>256</v>
      </c>
      <c r="B67">
        <v>101898</v>
      </c>
      <c r="C67" t="s">
        <v>257</v>
      </c>
      <c r="D67" t="s">
        <v>257</v>
      </c>
      <c r="E67" t="s">
        <v>258</v>
      </c>
      <c r="F67" t="s">
        <v>259</v>
      </c>
      <c r="G67" t="s">
        <v>16</v>
      </c>
    </row>
    <row r="68" spans="1:7" x14ac:dyDescent="0.35">
      <c r="A68" t="s">
        <v>260</v>
      </c>
      <c r="B68">
        <v>101897</v>
      </c>
      <c r="C68" t="s">
        <v>261</v>
      </c>
      <c r="D68" t="s">
        <v>261</v>
      </c>
      <c r="E68" t="s">
        <v>262</v>
      </c>
      <c r="F68" t="s">
        <v>263</v>
      </c>
      <c r="G68" t="s">
        <v>16</v>
      </c>
    </row>
    <row r="69" spans="1:7" x14ac:dyDescent="0.35">
      <c r="A69" t="s">
        <v>264</v>
      </c>
      <c r="B69">
        <v>101899</v>
      </c>
      <c r="C69" t="s">
        <v>265</v>
      </c>
      <c r="D69" t="s">
        <v>265</v>
      </c>
      <c r="E69" t="s">
        <v>266</v>
      </c>
      <c r="F69" t="s">
        <v>267</v>
      </c>
      <c r="G69" t="s">
        <v>16</v>
      </c>
    </row>
    <row r="70" spans="1:7" x14ac:dyDescent="0.35">
      <c r="A70" t="s">
        <v>268</v>
      </c>
      <c r="B70">
        <v>103132</v>
      </c>
      <c r="C70" t="s">
        <v>269</v>
      </c>
      <c r="D70" t="s">
        <v>269</v>
      </c>
      <c r="E70" t="s">
        <v>270</v>
      </c>
      <c r="F70" t="s">
        <v>271</v>
      </c>
      <c r="G70" t="s">
        <v>16</v>
      </c>
    </row>
    <row r="71" spans="1:7" x14ac:dyDescent="0.35">
      <c r="A71" t="s">
        <v>272</v>
      </c>
      <c r="B71">
        <v>101193</v>
      </c>
      <c r="C71" t="s">
        <v>273</v>
      </c>
      <c r="D71" t="s">
        <v>273</v>
      </c>
      <c r="E71" t="s">
        <v>274</v>
      </c>
      <c r="F71" t="s">
        <v>275</v>
      </c>
      <c r="G71" t="s">
        <v>16</v>
      </c>
    </row>
    <row r="72" spans="1:7" x14ac:dyDescent="0.35">
      <c r="A72" t="s">
        <v>276</v>
      </c>
      <c r="B72">
        <v>102503</v>
      </c>
      <c r="C72" t="s">
        <v>277</v>
      </c>
      <c r="D72" t="s">
        <v>277</v>
      </c>
      <c r="E72" t="s">
        <v>278</v>
      </c>
      <c r="F72" t="s">
        <v>279</v>
      </c>
      <c r="G72" t="s">
        <v>16</v>
      </c>
    </row>
    <row r="73" spans="1:7" x14ac:dyDescent="0.35">
      <c r="A73" t="s">
        <v>280</v>
      </c>
      <c r="B73">
        <v>103231</v>
      </c>
      <c r="C73" t="s">
        <v>281</v>
      </c>
      <c r="D73" t="s">
        <v>281</v>
      </c>
      <c r="E73" t="s">
        <v>282</v>
      </c>
      <c r="F73" t="s">
        <v>283</v>
      </c>
      <c r="G73" t="s">
        <v>16</v>
      </c>
    </row>
    <row r="74" spans="1:7" x14ac:dyDescent="0.35">
      <c r="A74" t="s">
        <v>284</v>
      </c>
      <c r="B74">
        <v>102439</v>
      </c>
      <c r="C74" t="s">
        <v>285</v>
      </c>
      <c r="D74" t="s">
        <v>285</v>
      </c>
      <c r="E74" t="s">
        <v>286</v>
      </c>
      <c r="F74" t="s">
        <v>287</v>
      </c>
      <c r="G74" t="s">
        <v>16</v>
      </c>
    </row>
    <row r="75" spans="1:7" x14ac:dyDescent="0.35">
      <c r="A75" t="s">
        <v>288</v>
      </c>
      <c r="B75">
        <v>102452</v>
      </c>
      <c r="C75" t="s">
        <v>289</v>
      </c>
      <c r="D75" t="s">
        <v>289</v>
      </c>
      <c r="E75" t="s">
        <v>290</v>
      </c>
      <c r="F75" t="s">
        <v>291</v>
      </c>
      <c r="G75" t="s">
        <v>16</v>
      </c>
    </row>
    <row r="76" spans="1:7" x14ac:dyDescent="0.35">
      <c r="A76" t="s">
        <v>292</v>
      </c>
      <c r="B76">
        <v>102502</v>
      </c>
      <c r="C76" t="s">
        <v>293</v>
      </c>
      <c r="D76" t="s">
        <v>293</v>
      </c>
      <c r="E76" t="s">
        <v>294</v>
      </c>
      <c r="F76" t="s">
        <v>295</v>
      </c>
      <c r="G76" t="s">
        <v>16</v>
      </c>
    </row>
    <row r="77" spans="1:7" x14ac:dyDescent="0.35">
      <c r="A77" t="s">
        <v>296</v>
      </c>
      <c r="B77">
        <v>102353</v>
      </c>
      <c r="C77" t="s">
        <v>297</v>
      </c>
      <c r="D77" t="s">
        <v>297</v>
      </c>
      <c r="E77" t="s">
        <v>298</v>
      </c>
      <c r="F77" t="s">
        <v>299</v>
      </c>
      <c r="G77" t="s">
        <v>16</v>
      </c>
    </row>
    <row r="78" spans="1:7" x14ac:dyDescent="0.35">
      <c r="A78" t="s">
        <v>300</v>
      </c>
      <c r="B78">
        <v>102354</v>
      </c>
      <c r="C78" t="s">
        <v>301</v>
      </c>
      <c r="D78" t="s">
        <v>301</v>
      </c>
      <c r="E78" t="s">
        <v>302</v>
      </c>
      <c r="F78" t="s">
        <v>303</v>
      </c>
      <c r="G78" t="s">
        <v>16</v>
      </c>
    </row>
    <row r="79" spans="1:7" x14ac:dyDescent="0.35">
      <c r="A79" t="s">
        <v>304</v>
      </c>
      <c r="B79">
        <v>101095</v>
      </c>
      <c r="C79" t="s">
        <v>305</v>
      </c>
      <c r="D79" t="s">
        <v>305</v>
      </c>
      <c r="E79" t="s">
        <v>306</v>
      </c>
      <c r="F79" t="s">
        <v>307</v>
      </c>
      <c r="G79" t="s">
        <v>16</v>
      </c>
    </row>
    <row r="80" spans="1:7" x14ac:dyDescent="0.35">
      <c r="A80" t="s">
        <v>308</v>
      </c>
      <c r="B80">
        <v>103895</v>
      </c>
      <c r="C80" t="s">
        <v>309</v>
      </c>
      <c r="D80" t="s">
        <v>309</v>
      </c>
      <c r="E80" t="s">
        <v>310</v>
      </c>
      <c r="F80" t="s">
        <v>311</v>
      </c>
      <c r="G80" t="s">
        <v>16</v>
      </c>
    </row>
    <row r="81" spans="1:7" x14ac:dyDescent="0.35">
      <c r="A81" t="s">
        <v>312</v>
      </c>
      <c r="B81">
        <v>103228</v>
      </c>
      <c r="C81" t="s">
        <v>313</v>
      </c>
      <c r="D81" t="s">
        <v>313</v>
      </c>
      <c r="E81" t="s">
        <v>314</v>
      </c>
      <c r="F81" t="s">
        <v>315</v>
      </c>
      <c r="G81" t="s">
        <v>16</v>
      </c>
    </row>
    <row r="82" spans="1:7" x14ac:dyDescent="0.35">
      <c r="A82" t="s">
        <v>316</v>
      </c>
      <c r="B82">
        <v>101737</v>
      </c>
      <c r="C82" t="s">
        <v>317</v>
      </c>
      <c r="D82" t="s">
        <v>317</v>
      </c>
      <c r="E82" t="s">
        <v>318</v>
      </c>
      <c r="F82" t="s">
        <v>319</v>
      </c>
      <c r="G82" t="s">
        <v>16</v>
      </c>
    </row>
    <row r="83" spans="1:7" x14ac:dyDescent="0.35">
      <c r="A83" t="s">
        <v>320</v>
      </c>
      <c r="B83">
        <v>102284</v>
      </c>
      <c r="C83" t="s">
        <v>321</v>
      </c>
      <c r="D83" t="s">
        <v>321</v>
      </c>
      <c r="E83" t="s">
        <v>322</v>
      </c>
      <c r="F83" t="s">
        <v>323</v>
      </c>
      <c r="G83" t="s">
        <v>16</v>
      </c>
    </row>
    <row r="84" spans="1:7" x14ac:dyDescent="0.35">
      <c r="A84">
        <v>101088</v>
      </c>
      <c r="B84">
        <v>101088</v>
      </c>
      <c r="C84" t="s">
        <v>324</v>
      </c>
      <c r="D84" t="s">
        <v>324</v>
      </c>
      <c r="E84" t="s">
        <v>325</v>
      </c>
      <c r="F84" t="s">
        <v>326</v>
      </c>
      <c r="G84" t="s">
        <v>16</v>
      </c>
    </row>
    <row r="85" spans="1:7" x14ac:dyDescent="0.35">
      <c r="A85" t="s">
        <v>327</v>
      </c>
      <c r="B85">
        <v>101837</v>
      </c>
      <c r="C85" t="s">
        <v>328</v>
      </c>
      <c r="D85" t="s">
        <v>328</v>
      </c>
      <c r="E85" t="s">
        <v>329</v>
      </c>
      <c r="F85" t="s">
        <v>330</v>
      </c>
      <c r="G85" t="s">
        <v>16</v>
      </c>
    </row>
    <row r="86" spans="1:7" hidden="1" x14ac:dyDescent="0.35">
      <c r="A86" t="s">
        <v>331</v>
      </c>
      <c r="B86">
        <v>0</v>
      </c>
      <c r="C86" t="s">
        <v>332</v>
      </c>
      <c r="G86" t="s">
        <v>75</v>
      </c>
    </row>
    <row r="87" spans="1:7" x14ac:dyDescent="0.35">
      <c r="A87" t="s">
        <v>333</v>
      </c>
      <c r="B87">
        <v>101860</v>
      </c>
      <c r="C87" t="s">
        <v>334</v>
      </c>
      <c r="D87" t="s">
        <v>334</v>
      </c>
      <c r="E87" t="s">
        <v>335</v>
      </c>
      <c r="F87" t="s">
        <v>336</v>
      </c>
      <c r="G87" t="s">
        <v>16</v>
      </c>
    </row>
    <row r="88" spans="1:7" x14ac:dyDescent="0.35">
      <c r="A88" t="s">
        <v>337</v>
      </c>
      <c r="B88">
        <v>104412</v>
      </c>
      <c r="C88" t="s">
        <v>338</v>
      </c>
      <c r="D88" t="s">
        <v>338</v>
      </c>
      <c r="E88" t="s">
        <v>339</v>
      </c>
      <c r="F88" t="s">
        <v>340</v>
      </c>
      <c r="G88" t="s">
        <v>16</v>
      </c>
    </row>
    <row r="89" spans="1:7" x14ac:dyDescent="0.35">
      <c r="A89" t="s">
        <v>341</v>
      </c>
      <c r="B89">
        <v>104414</v>
      </c>
      <c r="C89" t="s">
        <v>342</v>
      </c>
      <c r="D89" t="s">
        <v>342</v>
      </c>
      <c r="E89" t="s">
        <v>343</v>
      </c>
      <c r="F89" t="s">
        <v>344</v>
      </c>
      <c r="G89" t="s">
        <v>16</v>
      </c>
    </row>
    <row r="90" spans="1:7" x14ac:dyDescent="0.35">
      <c r="A90" t="s">
        <v>345</v>
      </c>
      <c r="B90">
        <v>104411</v>
      </c>
      <c r="C90" t="s">
        <v>346</v>
      </c>
      <c r="D90" t="s">
        <v>346</v>
      </c>
      <c r="E90" t="s">
        <v>347</v>
      </c>
      <c r="F90" t="s">
        <v>348</v>
      </c>
      <c r="G90" t="s">
        <v>16</v>
      </c>
    </row>
    <row r="91" spans="1:7" x14ac:dyDescent="0.35">
      <c r="A91" t="s">
        <v>349</v>
      </c>
      <c r="B91">
        <v>104410</v>
      </c>
      <c r="C91" t="s">
        <v>350</v>
      </c>
      <c r="D91" t="s">
        <v>350</v>
      </c>
      <c r="E91" t="s">
        <v>351</v>
      </c>
      <c r="F91" t="s">
        <v>352</v>
      </c>
      <c r="G91" t="s">
        <v>16</v>
      </c>
    </row>
    <row r="92" spans="1:7" x14ac:dyDescent="0.35">
      <c r="A92" t="s">
        <v>353</v>
      </c>
      <c r="B92">
        <v>101709</v>
      </c>
      <c r="C92" t="s">
        <v>354</v>
      </c>
      <c r="D92" t="s">
        <v>354</v>
      </c>
      <c r="E92" t="s">
        <v>355</v>
      </c>
      <c r="F92" t="s">
        <v>356</v>
      </c>
      <c r="G92" t="s">
        <v>16</v>
      </c>
    </row>
    <row r="93" spans="1:7" x14ac:dyDescent="0.35">
      <c r="A93" t="s">
        <v>357</v>
      </c>
      <c r="B93">
        <v>102056</v>
      </c>
      <c r="C93" t="s">
        <v>358</v>
      </c>
      <c r="D93" t="s">
        <v>358</v>
      </c>
      <c r="E93" t="s">
        <v>359</v>
      </c>
      <c r="F93" t="s">
        <v>360</v>
      </c>
      <c r="G93" t="s">
        <v>16</v>
      </c>
    </row>
    <row r="94" spans="1:7" x14ac:dyDescent="0.35">
      <c r="A94" t="s">
        <v>361</v>
      </c>
      <c r="B94">
        <v>102629</v>
      </c>
      <c r="C94" t="s">
        <v>362</v>
      </c>
      <c r="D94" t="s">
        <v>362</v>
      </c>
      <c r="E94" t="s">
        <v>363</v>
      </c>
      <c r="F94" t="s">
        <v>364</v>
      </c>
      <c r="G94" t="s">
        <v>16</v>
      </c>
    </row>
    <row r="95" spans="1:7" x14ac:dyDescent="0.35">
      <c r="A95" t="s">
        <v>365</v>
      </c>
      <c r="B95">
        <v>103558</v>
      </c>
      <c r="C95" t="s">
        <v>366</v>
      </c>
      <c r="D95" t="s">
        <v>366</v>
      </c>
      <c r="E95" t="s">
        <v>367</v>
      </c>
      <c r="F95" t="s">
        <v>368</v>
      </c>
      <c r="G95" t="s">
        <v>16</v>
      </c>
    </row>
    <row r="96" spans="1:7" x14ac:dyDescent="0.35">
      <c r="A96" t="s">
        <v>369</v>
      </c>
      <c r="B96">
        <v>103104</v>
      </c>
      <c r="C96" t="s">
        <v>370</v>
      </c>
      <c r="D96" t="s">
        <v>370</v>
      </c>
      <c r="E96" t="s">
        <v>371</v>
      </c>
      <c r="F96" t="s">
        <v>372</v>
      </c>
      <c r="G96" t="s">
        <v>16</v>
      </c>
    </row>
    <row r="97" spans="1:7" x14ac:dyDescent="0.35">
      <c r="A97" t="s">
        <v>373</v>
      </c>
      <c r="B97">
        <v>102266</v>
      </c>
      <c r="C97" t="s">
        <v>374</v>
      </c>
      <c r="D97" t="s">
        <v>374</v>
      </c>
      <c r="E97" t="s">
        <v>375</v>
      </c>
      <c r="F97" t="s">
        <v>376</v>
      </c>
      <c r="G97" t="s">
        <v>16</v>
      </c>
    </row>
    <row r="98" spans="1:7" x14ac:dyDescent="0.35">
      <c r="A98" t="s">
        <v>377</v>
      </c>
      <c r="B98">
        <v>102546</v>
      </c>
      <c r="C98" t="s">
        <v>378</v>
      </c>
      <c r="D98" t="s">
        <v>378</v>
      </c>
      <c r="E98" t="s">
        <v>379</v>
      </c>
      <c r="F98" t="s">
        <v>380</v>
      </c>
      <c r="G98" t="s">
        <v>16</v>
      </c>
    </row>
    <row r="99" spans="1:7" x14ac:dyDescent="0.35">
      <c r="A99" t="s">
        <v>381</v>
      </c>
      <c r="B99">
        <v>103233</v>
      </c>
      <c r="C99" t="s">
        <v>382</v>
      </c>
      <c r="D99" t="s">
        <v>382</v>
      </c>
      <c r="E99" t="s">
        <v>383</v>
      </c>
      <c r="F99" t="s">
        <v>384</v>
      </c>
      <c r="G99" t="s">
        <v>16</v>
      </c>
    </row>
    <row r="100" spans="1:7" x14ac:dyDescent="0.35">
      <c r="A100" t="s">
        <v>385</v>
      </c>
      <c r="B100">
        <v>102742</v>
      </c>
      <c r="C100" t="s">
        <v>386</v>
      </c>
      <c r="D100" t="s">
        <v>386</v>
      </c>
      <c r="E100" t="s">
        <v>387</v>
      </c>
      <c r="F100" t="s">
        <v>388</v>
      </c>
      <c r="G100" t="s">
        <v>16</v>
      </c>
    </row>
    <row r="101" spans="1:7" x14ac:dyDescent="0.35">
      <c r="A101" t="s">
        <v>389</v>
      </c>
      <c r="B101">
        <v>102558</v>
      </c>
      <c r="C101" t="s">
        <v>390</v>
      </c>
      <c r="D101" t="s">
        <v>390</v>
      </c>
      <c r="E101" t="s">
        <v>391</v>
      </c>
      <c r="F101" t="s">
        <v>392</v>
      </c>
      <c r="G101" t="s">
        <v>16</v>
      </c>
    </row>
    <row r="102" spans="1:7" x14ac:dyDescent="0.35">
      <c r="A102" t="s">
        <v>393</v>
      </c>
      <c r="B102">
        <v>103356</v>
      </c>
      <c r="C102" t="s">
        <v>394</v>
      </c>
      <c r="D102" t="s">
        <v>394</v>
      </c>
      <c r="E102" t="s">
        <v>395</v>
      </c>
      <c r="F102" t="s">
        <v>396</v>
      </c>
      <c r="G102" t="s">
        <v>16</v>
      </c>
    </row>
    <row r="103" spans="1:7" x14ac:dyDescent="0.35">
      <c r="A103" t="s">
        <v>397</v>
      </c>
      <c r="B103">
        <v>103811</v>
      </c>
      <c r="C103" t="s">
        <v>398</v>
      </c>
      <c r="D103" t="s">
        <v>398</v>
      </c>
      <c r="E103" t="s">
        <v>399</v>
      </c>
      <c r="F103" t="s">
        <v>400</v>
      </c>
      <c r="G103" t="s">
        <v>16</v>
      </c>
    </row>
    <row r="104" spans="1:7" x14ac:dyDescent="0.35">
      <c r="A104" t="s">
        <v>401</v>
      </c>
      <c r="B104">
        <v>104232</v>
      </c>
      <c r="C104" t="s">
        <v>402</v>
      </c>
      <c r="D104" t="s">
        <v>403</v>
      </c>
      <c r="E104" t="s">
        <v>404</v>
      </c>
      <c r="F104" t="s">
        <v>405</v>
      </c>
      <c r="G104" t="s">
        <v>60</v>
      </c>
    </row>
    <row r="105" spans="1:7" x14ac:dyDescent="0.35">
      <c r="A105" t="s">
        <v>406</v>
      </c>
      <c r="B105">
        <v>104234</v>
      </c>
      <c r="C105" t="s">
        <v>407</v>
      </c>
      <c r="D105" t="s">
        <v>408</v>
      </c>
      <c r="E105" t="s">
        <v>409</v>
      </c>
      <c r="F105" t="s">
        <v>410</v>
      </c>
      <c r="G105" t="s">
        <v>60</v>
      </c>
    </row>
    <row r="106" spans="1:7" x14ac:dyDescent="0.35">
      <c r="A106" t="s">
        <v>411</v>
      </c>
      <c r="B106">
        <v>102037</v>
      </c>
      <c r="C106" t="s">
        <v>412</v>
      </c>
      <c r="D106" t="s">
        <v>412</v>
      </c>
      <c r="E106" t="s">
        <v>413</v>
      </c>
      <c r="F106" t="s">
        <v>414</v>
      </c>
      <c r="G106" t="s">
        <v>16</v>
      </c>
    </row>
    <row r="107" spans="1:7" x14ac:dyDescent="0.35">
      <c r="A107" t="s">
        <v>415</v>
      </c>
      <c r="B107">
        <v>101273</v>
      </c>
      <c r="C107" t="s">
        <v>416</v>
      </c>
      <c r="D107" t="s">
        <v>416</v>
      </c>
      <c r="E107" t="s">
        <v>417</v>
      </c>
      <c r="F107" t="s">
        <v>418</v>
      </c>
      <c r="G107" t="s">
        <v>16</v>
      </c>
    </row>
    <row r="108" spans="1:7" x14ac:dyDescent="0.35">
      <c r="A108" t="s">
        <v>419</v>
      </c>
      <c r="B108">
        <v>104418</v>
      </c>
      <c r="C108" t="s">
        <v>420</v>
      </c>
      <c r="D108" t="s">
        <v>420</v>
      </c>
      <c r="E108" t="s">
        <v>421</v>
      </c>
      <c r="F108" t="s">
        <v>422</v>
      </c>
      <c r="G108" t="s">
        <v>16</v>
      </c>
    </row>
    <row r="109" spans="1:7" x14ac:dyDescent="0.35">
      <c r="A109" t="s">
        <v>423</v>
      </c>
      <c r="B109">
        <v>102464</v>
      </c>
      <c r="C109" t="s">
        <v>424</v>
      </c>
      <c r="D109" t="s">
        <v>424</v>
      </c>
      <c r="E109" t="s">
        <v>425</v>
      </c>
      <c r="F109" t="s">
        <v>426</v>
      </c>
      <c r="G109" t="s">
        <v>16</v>
      </c>
    </row>
    <row r="110" spans="1:7" x14ac:dyDescent="0.35">
      <c r="A110" t="s">
        <v>427</v>
      </c>
      <c r="B110">
        <v>101673</v>
      </c>
      <c r="C110" t="s">
        <v>428</v>
      </c>
      <c r="D110" t="s">
        <v>428</v>
      </c>
      <c r="E110" t="s">
        <v>429</v>
      </c>
      <c r="F110" t="s">
        <v>430</v>
      </c>
      <c r="G110" t="s">
        <v>16</v>
      </c>
    </row>
    <row r="111" spans="1:7" x14ac:dyDescent="0.35">
      <c r="A111" t="s">
        <v>431</v>
      </c>
      <c r="B111">
        <v>103599</v>
      </c>
      <c r="C111" t="s">
        <v>432</v>
      </c>
      <c r="D111" t="s">
        <v>432</v>
      </c>
      <c r="E111" t="s">
        <v>433</v>
      </c>
      <c r="F111" t="s">
        <v>434</v>
      </c>
      <c r="G111" t="s">
        <v>16</v>
      </c>
    </row>
    <row r="112" spans="1:7" x14ac:dyDescent="0.35">
      <c r="A112" t="s">
        <v>435</v>
      </c>
      <c r="B112">
        <v>102778</v>
      </c>
      <c r="C112" t="s">
        <v>436</v>
      </c>
      <c r="D112" t="s">
        <v>436</v>
      </c>
      <c r="E112" t="s">
        <v>437</v>
      </c>
      <c r="F112" t="s">
        <v>438</v>
      </c>
      <c r="G112" t="s">
        <v>16</v>
      </c>
    </row>
    <row r="113" spans="1:7" x14ac:dyDescent="0.35">
      <c r="A113" t="s">
        <v>439</v>
      </c>
      <c r="B113">
        <v>104029</v>
      </c>
      <c r="C113" t="s">
        <v>440</v>
      </c>
      <c r="D113" t="s">
        <v>440</v>
      </c>
      <c r="E113" t="s">
        <v>441</v>
      </c>
      <c r="F113" t="s">
        <v>442</v>
      </c>
      <c r="G113" t="s">
        <v>16</v>
      </c>
    </row>
    <row r="114" spans="1:7" x14ac:dyDescent="0.35">
      <c r="A114" t="s">
        <v>443</v>
      </c>
      <c r="B114">
        <v>102015</v>
      </c>
      <c r="C114" t="s">
        <v>444</v>
      </c>
      <c r="D114" t="s">
        <v>444</v>
      </c>
      <c r="E114" t="s">
        <v>445</v>
      </c>
      <c r="F114" t="s">
        <v>446</v>
      </c>
      <c r="G114" t="s">
        <v>16</v>
      </c>
    </row>
    <row r="115" spans="1:7" x14ac:dyDescent="0.35">
      <c r="A115" t="s">
        <v>447</v>
      </c>
      <c r="B115">
        <v>103787</v>
      </c>
      <c r="C115" t="s">
        <v>448</v>
      </c>
      <c r="D115" t="s">
        <v>448</v>
      </c>
      <c r="E115" t="s">
        <v>449</v>
      </c>
      <c r="F115" t="s">
        <v>450</v>
      </c>
      <c r="G115" t="s">
        <v>16</v>
      </c>
    </row>
    <row r="116" spans="1:7" x14ac:dyDescent="0.35">
      <c r="A116" t="s">
        <v>451</v>
      </c>
      <c r="B116">
        <v>102276</v>
      </c>
      <c r="C116" t="s">
        <v>452</v>
      </c>
      <c r="D116" t="s">
        <v>452</v>
      </c>
      <c r="E116" t="s">
        <v>453</v>
      </c>
      <c r="F116" t="s">
        <v>454</v>
      </c>
      <c r="G116" t="s">
        <v>16</v>
      </c>
    </row>
    <row r="117" spans="1:7" x14ac:dyDescent="0.35">
      <c r="A117" t="s">
        <v>455</v>
      </c>
      <c r="B117">
        <v>102212</v>
      </c>
      <c r="C117" t="s">
        <v>456</v>
      </c>
      <c r="D117" t="s">
        <v>456</v>
      </c>
      <c r="E117" t="s">
        <v>457</v>
      </c>
      <c r="F117" t="s">
        <v>458</v>
      </c>
      <c r="G117" t="s">
        <v>16</v>
      </c>
    </row>
    <row r="118" spans="1:7" x14ac:dyDescent="0.35">
      <c r="A118" t="s">
        <v>459</v>
      </c>
      <c r="B118">
        <v>103711</v>
      </c>
      <c r="C118" t="s">
        <v>460</v>
      </c>
      <c r="D118" t="s">
        <v>460</v>
      </c>
      <c r="E118" t="s">
        <v>461</v>
      </c>
      <c r="F118" t="s">
        <v>462</v>
      </c>
      <c r="G118" t="s">
        <v>16</v>
      </c>
    </row>
    <row r="119" spans="1:7" x14ac:dyDescent="0.35">
      <c r="A119" t="s">
        <v>463</v>
      </c>
      <c r="B119">
        <v>101172</v>
      </c>
      <c r="C119" t="s">
        <v>464</v>
      </c>
      <c r="D119" t="s">
        <v>464</v>
      </c>
      <c r="E119" t="s">
        <v>465</v>
      </c>
      <c r="F119" t="s">
        <v>466</v>
      </c>
      <c r="G119" t="s">
        <v>16</v>
      </c>
    </row>
    <row r="120" spans="1:7" x14ac:dyDescent="0.35">
      <c r="A120" t="s">
        <v>467</v>
      </c>
      <c r="B120">
        <v>101187</v>
      </c>
      <c r="C120" t="s">
        <v>468</v>
      </c>
      <c r="D120" t="s">
        <v>468</v>
      </c>
      <c r="E120" t="s">
        <v>469</v>
      </c>
      <c r="F120" t="s">
        <v>470</v>
      </c>
      <c r="G120" t="s">
        <v>16</v>
      </c>
    </row>
    <row r="121" spans="1:7" x14ac:dyDescent="0.35">
      <c r="A121" t="s">
        <v>471</v>
      </c>
      <c r="B121">
        <v>102390</v>
      </c>
      <c r="C121" t="s">
        <v>472</v>
      </c>
      <c r="D121" t="s">
        <v>472</v>
      </c>
      <c r="E121" t="s">
        <v>473</v>
      </c>
      <c r="F121" t="s">
        <v>474</v>
      </c>
      <c r="G121" t="s">
        <v>16</v>
      </c>
    </row>
    <row r="122" spans="1:7" x14ac:dyDescent="0.35">
      <c r="A122" t="s">
        <v>475</v>
      </c>
      <c r="B122">
        <v>102036</v>
      </c>
      <c r="C122" t="s">
        <v>476</v>
      </c>
      <c r="D122" t="s">
        <v>476</v>
      </c>
      <c r="E122" t="s">
        <v>477</v>
      </c>
      <c r="F122" t="s">
        <v>478</v>
      </c>
      <c r="G122" t="s">
        <v>16</v>
      </c>
    </row>
    <row r="123" spans="1:7" x14ac:dyDescent="0.35">
      <c r="A123" t="s">
        <v>479</v>
      </c>
      <c r="B123">
        <v>104305</v>
      </c>
      <c r="C123" t="s">
        <v>480</v>
      </c>
      <c r="D123" t="s">
        <v>480</v>
      </c>
      <c r="E123" t="s">
        <v>481</v>
      </c>
      <c r="F123" t="s">
        <v>482</v>
      </c>
      <c r="G123" t="s">
        <v>16</v>
      </c>
    </row>
    <row r="124" spans="1:7" x14ac:dyDescent="0.35">
      <c r="A124" t="s">
        <v>483</v>
      </c>
      <c r="B124">
        <v>102473</v>
      </c>
      <c r="C124" t="s">
        <v>484</v>
      </c>
      <c r="D124" t="s">
        <v>484</v>
      </c>
      <c r="E124" t="s">
        <v>485</v>
      </c>
      <c r="F124" t="s">
        <v>486</v>
      </c>
      <c r="G124" t="s">
        <v>16</v>
      </c>
    </row>
    <row r="125" spans="1:7" x14ac:dyDescent="0.35">
      <c r="A125" t="s">
        <v>487</v>
      </c>
      <c r="B125">
        <v>101917</v>
      </c>
      <c r="C125" t="s">
        <v>488</v>
      </c>
      <c r="D125" t="s">
        <v>488</v>
      </c>
      <c r="E125" t="s">
        <v>489</v>
      </c>
      <c r="F125" t="s">
        <v>490</v>
      </c>
      <c r="G125" t="s">
        <v>16</v>
      </c>
    </row>
    <row r="126" spans="1:7" x14ac:dyDescent="0.35">
      <c r="A126" t="s">
        <v>491</v>
      </c>
      <c r="B126">
        <v>101641</v>
      </c>
      <c r="C126" t="s">
        <v>492</v>
      </c>
      <c r="D126" t="s">
        <v>492</v>
      </c>
      <c r="E126" t="s">
        <v>493</v>
      </c>
      <c r="F126" t="s">
        <v>494</v>
      </c>
      <c r="G126" t="s">
        <v>16</v>
      </c>
    </row>
    <row r="127" spans="1:7" x14ac:dyDescent="0.35">
      <c r="A127" t="s">
        <v>495</v>
      </c>
      <c r="B127">
        <v>102181</v>
      </c>
      <c r="C127" t="s">
        <v>496</v>
      </c>
      <c r="D127" t="s">
        <v>496</v>
      </c>
      <c r="E127" t="s">
        <v>497</v>
      </c>
      <c r="F127" t="s">
        <v>498</v>
      </c>
      <c r="G127" t="s">
        <v>16</v>
      </c>
    </row>
    <row r="128" spans="1:7" x14ac:dyDescent="0.35">
      <c r="A128" t="s">
        <v>499</v>
      </c>
      <c r="B128">
        <v>102677</v>
      </c>
      <c r="C128" t="s">
        <v>500</v>
      </c>
      <c r="D128" t="s">
        <v>500</v>
      </c>
      <c r="E128" t="s">
        <v>501</v>
      </c>
      <c r="F128" t="s">
        <v>502</v>
      </c>
      <c r="G128" t="s">
        <v>16</v>
      </c>
    </row>
    <row r="129" spans="1:7" x14ac:dyDescent="0.35">
      <c r="A129" t="s">
        <v>503</v>
      </c>
      <c r="B129">
        <v>102263</v>
      </c>
      <c r="C129" t="s">
        <v>504</v>
      </c>
      <c r="D129" t="s">
        <v>504</v>
      </c>
      <c r="E129" t="s">
        <v>505</v>
      </c>
      <c r="F129" t="s">
        <v>506</v>
      </c>
      <c r="G129" t="s">
        <v>16</v>
      </c>
    </row>
    <row r="130" spans="1:7" x14ac:dyDescent="0.35">
      <c r="A130" t="s">
        <v>507</v>
      </c>
      <c r="B130">
        <v>102795</v>
      </c>
      <c r="C130" t="s">
        <v>508</v>
      </c>
      <c r="D130" t="s">
        <v>508</v>
      </c>
      <c r="E130" t="s">
        <v>509</v>
      </c>
      <c r="F130" t="s">
        <v>510</v>
      </c>
      <c r="G130" t="s">
        <v>16</v>
      </c>
    </row>
    <row r="131" spans="1:7" x14ac:dyDescent="0.35">
      <c r="A131" t="s">
        <v>511</v>
      </c>
      <c r="B131">
        <v>102853</v>
      </c>
      <c r="C131" t="s">
        <v>512</v>
      </c>
      <c r="D131" t="s">
        <v>512</v>
      </c>
      <c r="E131" t="s">
        <v>513</v>
      </c>
      <c r="F131" t="s">
        <v>514</v>
      </c>
      <c r="G131" t="s">
        <v>16</v>
      </c>
    </row>
    <row r="132" spans="1:7" x14ac:dyDescent="0.35">
      <c r="A132" t="s">
        <v>515</v>
      </c>
      <c r="B132">
        <v>102435</v>
      </c>
      <c r="C132" t="s">
        <v>516</v>
      </c>
      <c r="D132" t="s">
        <v>516</v>
      </c>
      <c r="E132" t="s">
        <v>517</v>
      </c>
      <c r="F132" t="s">
        <v>518</v>
      </c>
      <c r="G132" t="s">
        <v>16</v>
      </c>
    </row>
    <row r="133" spans="1:7" hidden="1" x14ac:dyDescent="0.35">
      <c r="A133" t="s">
        <v>519</v>
      </c>
      <c r="B133">
        <v>0</v>
      </c>
      <c r="C133" t="s">
        <v>520</v>
      </c>
      <c r="G133" t="s">
        <v>75</v>
      </c>
    </row>
    <row r="134" spans="1:7" x14ac:dyDescent="0.35">
      <c r="A134" t="s">
        <v>521</v>
      </c>
      <c r="B134">
        <v>104337</v>
      </c>
      <c r="C134" t="s">
        <v>522</v>
      </c>
      <c r="D134" t="s">
        <v>522</v>
      </c>
      <c r="E134" t="s">
        <v>523</v>
      </c>
      <c r="F134" t="s">
        <v>524</v>
      </c>
      <c r="G134" t="s">
        <v>16</v>
      </c>
    </row>
    <row r="135" spans="1:7" x14ac:dyDescent="0.35">
      <c r="A135" t="s">
        <v>525</v>
      </c>
      <c r="B135">
        <v>103036</v>
      </c>
      <c r="C135" t="s">
        <v>526</v>
      </c>
      <c r="D135" t="s">
        <v>526</v>
      </c>
      <c r="E135" t="s">
        <v>527</v>
      </c>
      <c r="F135" t="s">
        <v>528</v>
      </c>
      <c r="G135" t="s">
        <v>16</v>
      </c>
    </row>
    <row r="136" spans="1:7" x14ac:dyDescent="0.35">
      <c r="A136" t="s">
        <v>529</v>
      </c>
      <c r="B136">
        <v>101931</v>
      </c>
      <c r="C136" t="s">
        <v>530</v>
      </c>
      <c r="D136" t="s">
        <v>530</v>
      </c>
      <c r="E136" t="s">
        <v>531</v>
      </c>
      <c r="F136" t="s">
        <v>532</v>
      </c>
      <c r="G136" t="s">
        <v>16</v>
      </c>
    </row>
    <row r="137" spans="1:7" x14ac:dyDescent="0.35">
      <c r="A137" t="s">
        <v>533</v>
      </c>
      <c r="B137">
        <v>102262</v>
      </c>
      <c r="C137" t="s">
        <v>534</v>
      </c>
      <c r="D137" t="s">
        <v>534</v>
      </c>
      <c r="E137" t="s">
        <v>535</v>
      </c>
      <c r="F137" t="s">
        <v>536</v>
      </c>
      <c r="G137" t="s">
        <v>16</v>
      </c>
    </row>
    <row r="138" spans="1:7" x14ac:dyDescent="0.35">
      <c r="A138" t="s">
        <v>537</v>
      </c>
      <c r="B138">
        <v>101965</v>
      </c>
      <c r="C138" t="s">
        <v>538</v>
      </c>
      <c r="D138" t="s">
        <v>538</v>
      </c>
      <c r="E138" t="s">
        <v>539</v>
      </c>
      <c r="F138" t="s">
        <v>540</v>
      </c>
      <c r="G138" t="s">
        <v>16</v>
      </c>
    </row>
    <row r="139" spans="1:7" x14ac:dyDescent="0.35">
      <c r="A139" t="s">
        <v>541</v>
      </c>
      <c r="B139">
        <v>101763</v>
      </c>
      <c r="C139" t="s">
        <v>542</v>
      </c>
      <c r="D139" t="s">
        <v>542</v>
      </c>
      <c r="E139" t="s">
        <v>543</v>
      </c>
      <c r="F139" t="s">
        <v>544</v>
      </c>
      <c r="G139" t="s">
        <v>16</v>
      </c>
    </row>
    <row r="140" spans="1:7" x14ac:dyDescent="0.35">
      <c r="A140" t="s">
        <v>545</v>
      </c>
      <c r="B140">
        <v>104489</v>
      </c>
      <c r="C140" t="s">
        <v>546</v>
      </c>
      <c r="D140" t="s">
        <v>546</v>
      </c>
      <c r="E140" t="s">
        <v>547</v>
      </c>
      <c r="F140" t="s">
        <v>548</v>
      </c>
      <c r="G140" t="s">
        <v>16</v>
      </c>
    </row>
    <row r="141" spans="1:7" x14ac:dyDescent="0.35">
      <c r="A141" t="s">
        <v>549</v>
      </c>
      <c r="B141">
        <v>103976</v>
      </c>
      <c r="C141" t="s">
        <v>550</v>
      </c>
      <c r="D141" t="s">
        <v>550</v>
      </c>
      <c r="E141" t="s">
        <v>551</v>
      </c>
      <c r="F141" t="s">
        <v>552</v>
      </c>
      <c r="G141" t="s">
        <v>16</v>
      </c>
    </row>
    <row r="142" spans="1:7" x14ac:dyDescent="0.35">
      <c r="A142" t="s">
        <v>553</v>
      </c>
      <c r="B142">
        <v>104490</v>
      </c>
      <c r="C142" t="s">
        <v>554</v>
      </c>
      <c r="D142" t="s">
        <v>554</v>
      </c>
      <c r="E142" t="s">
        <v>555</v>
      </c>
      <c r="F142" t="s">
        <v>556</v>
      </c>
      <c r="G142" t="s">
        <v>16</v>
      </c>
    </row>
    <row r="143" spans="1:7" x14ac:dyDescent="0.35">
      <c r="A143" t="s">
        <v>557</v>
      </c>
      <c r="B143">
        <v>104419</v>
      </c>
      <c r="C143" t="s">
        <v>558</v>
      </c>
      <c r="D143" t="s">
        <v>558</v>
      </c>
      <c r="E143" t="s">
        <v>559</v>
      </c>
      <c r="F143" t="s">
        <v>560</v>
      </c>
      <c r="G143" t="s">
        <v>16</v>
      </c>
    </row>
    <row r="144" spans="1:7" x14ac:dyDescent="0.35">
      <c r="A144" t="s">
        <v>561</v>
      </c>
      <c r="B144">
        <v>102288</v>
      </c>
      <c r="C144" t="s">
        <v>562</v>
      </c>
      <c r="D144" t="s">
        <v>562</v>
      </c>
      <c r="E144" t="s">
        <v>563</v>
      </c>
      <c r="F144" t="s">
        <v>564</v>
      </c>
      <c r="G144" t="s">
        <v>16</v>
      </c>
    </row>
    <row r="145" spans="1:7" x14ac:dyDescent="0.35">
      <c r="A145" t="s">
        <v>565</v>
      </c>
      <c r="B145">
        <v>101125</v>
      </c>
      <c r="C145" t="s">
        <v>566</v>
      </c>
      <c r="D145" t="s">
        <v>566</v>
      </c>
      <c r="E145" t="s">
        <v>567</v>
      </c>
      <c r="F145" t="s">
        <v>568</v>
      </c>
      <c r="G145" t="s">
        <v>16</v>
      </c>
    </row>
    <row r="146" spans="1:7" x14ac:dyDescent="0.35">
      <c r="A146" t="s">
        <v>569</v>
      </c>
      <c r="B146">
        <v>102054</v>
      </c>
      <c r="C146" t="s">
        <v>570</v>
      </c>
      <c r="D146" t="s">
        <v>570</v>
      </c>
      <c r="E146" t="s">
        <v>571</v>
      </c>
      <c r="F146" t="s">
        <v>572</v>
      </c>
      <c r="G146" t="s">
        <v>16</v>
      </c>
    </row>
    <row r="147" spans="1:7" x14ac:dyDescent="0.35">
      <c r="A147" t="s">
        <v>573</v>
      </c>
      <c r="B147">
        <v>102162</v>
      </c>
      <c r="C147" t="s">
        <v>574</v>
      </c>
      <c r="D147" t="s">
        <v>574</v>
      </c>
      <c r="E147" t="s">
        <v>575</v>
      </c>
      <c r="F147" t="s">
        <v>576</v>
      </c>
      <c r="G147" t="s">
        <v>16</v>
      </c>
    </row>
    <row r="148" spans="1:7" hidden="1" x14ac:dyDescent="0.35">
      <c r="A148" t="s">
        <v>577</v>
      </c>
      <c r="C148" t="s">
        <v>578</v>
      </c>
      <c r="G148" t="s">
        <v>9</v>
      </c>
    </row>
    <row r="149" spans="1:7" hidden="1" x14ac:dyDescent="0.35">
      <c r="A149" t="s">
        <v>579</v>
      </c>
      <c r="C149" t="s">
        <v>580</v>
      </c>
      <c r="G149" t="s">
        <v>9</v>
      </c>
    </row>
    <row r="150" spans="1:7" x14ac:dyDescent="0.35">
      <c r="A150" t="s">
        <v>581</v>
      </c>
      <c r="B150">
        <v>104167</v>
      </c>
      <c r="C150" t="s">
        <v>582</v>
      </c>
      <c r="D150" t="s">
        <v>582</v>
      </c>
      <c r="E150" t="s">
        <v>583</v>
      </c>
      <c r="F150" t="s">
        <v>584</v>
      </c>
      <c r="G150" t="s">
        <v>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81B38-7046-42E5-AF66-86E42A181996}">
  <dimension ref="A1:M2796"/>
  <sheetViews>
    <sheetView workbookViewId="0"/>
  </sheetViews>
  <sheetFormatPr defaultRowHeight="14.5" x14ac:dyDescent="0.35"/>
  <cols>
    <col min="1" max="1" width="13.1796875" bestFit="1" customWidth="1"/>
    <col min="2" max="2" width="4.90625" bestFit="1" customWidth="1"/>
    <col min="3" max="3" width="15.36328125" bestFit="1" customWidth="1"/>
    <col min="4" max="4" width="31.7265625" bestFit="1" customWidth="1"/>
    <col min="5" max="5" width="79.36328125" bestFit="1" customWidth="1"/>
    <col min="6" max="6" width="12.36328125" bestFit="1" customWidth="1"/>
    <col min="7" max="7" width="14.08984375" bestFit="1" customWidth="1"/>
    <col min="8" max="8" width="15.7265625" bestFit="1" customWidth="1"/>
    <col min="9" max="9" width="24.453125" bestFit="1" customWidth="1"/>
    <col min="10" max="10" width="22.90625" bestFit="1" customWidth="1"/>
    <col min="11" max="11" width="109" bestFit="1" customWidth="1"/>
    <col min="12" max="12" width="25.6328125" bestFit="1" customWidth="1"/>
    <col min="13" max="13" width="56.08984375" bestFit="1" customWidth="1"/>
  </cols>
  <sheetData>
    <row r="1" spans="1:13" x14ac:dyDescent="0.35">
      <c r="A1" t="s">
        <v>585</v>
      </c>
      <c r="B1" t="s">
        <v>586</v>
      </c>
      <c r="C1" t="s">
        <v>6</v>
      </c>
      <c r="D1" t="s">
        <v>587</v>
      </c>
      <c r="E1" t="s">
        <v>588</v>
      </c>
      <c r="F1" t="s">
        <v>589</v>
      </c>
      <c r="G1" t="s">
        <v>590</v>
      </c>
      <c r="H1" t="s">
        <v>591</v>
      </c>
      <c r="I1" t="s">
        <v>592</v>
      </c>
      <c r="J1" t="s">
        <v>593</v>
      </c>
      <c r="K1" t="s">
        <v>594</v>
      </c>
      <c r="L1" t="s">
        <v>595</v>
      </c>
      <c r="M1" t="s">
        <v>596</v>
      </c>
    </row>
    <row r="2" spans="1:13" x14ac:dyDescent="0.35">
      <c r="A2">
        <v>101195</v>
      </c>
      <c r="B2">
        <v>1937</v>
      </c>
      <c r="C2" t="s">
        <v>597</v>
      </c>
      <c r="D2" t="s">
        <v>598</v>
      </c>
      <c r="E2" t="s">
        <v>599</v>
      </c>
      <c r="G2">
        <v>217775</v>
      </c>
    </row>
    <row r="3" spans="1:13" x14ac:dyDescent="0.35">
      <c r="A3">
        <v>101233</v>
      </c>
      <c r="B3">
        <v>1948</v>
      </c>
      <c r="C3" t="s">
        <v>597</v>
      </c>
      <c r="D3" t="s">
        <v>598</v>
      </c>
      <c r="E3" t="s">
        <v>600</v>
      </c>
      <c r="G3">
        <v>217812</v>
      </c>
    </row>
    <row r="4" spans="1:13" x14ac:dyDescent="0.35">
      <c r="A4">
        <v>102003</v>
      </c>
      <c r="B4">
        <v>2044</v>
      </c>
      <c r="C4" t="s">
        <v>597</v>
      </c>
      <c r="D4" t="s">
        <v>598</v>
      </c>
      <c r="E4" t="s">
        <v>601</v>
      </c>
    </row>
    <row r="5" spans="1:13" x14ac:dyDescent="0.35">
      <c r="A5">
        <v>101879</v>
      </c>
      <c r="B5">
        <v>2310</v>
      </c>
      <c r="C5" t="s">
        <v>602</v>
      </c>
      <c r="D5" t="s">
        <v>603</v>
      </c>
      <c r="E5" t="s">
        <v>604</v>
      </c>
      <c r="G5">
        <v>22297</v>
      </c>
    </row>
    <row r="6" spans="1:13" x14ac:dyDescent="0.35">
      <c r="A6">
        <v>102716</v>
      </c>
      <c r="B6">
        <v>2109</v>
      </c>
      <c r="C6" t="s">
        <v>597</v>
      </c>
      <c r="D6" t="s">
        <v>598</v>
      </c>
      <c r="E6" t="s">
        <v>605</v>
      </c>
    </row>
    <row r="7" spans="1:13" x14ac:dyDescent="0.35">
      <c r="A7">
        <v>101102</v>
      </c>
      <c r="B7">
        <v>1905</v>
      </c>
      <c r="C7" t="s">
        <v>597</v>
      </c>
      <c r="D7" t="s">
        <v>598</v>
      </c>
      <c r="E7" t="s">
        <v>606</v>
      </c>
    </row>
    <row r="8" spans="1:13" x14ac:dyDescent="0.35">
      <c r="A8">
        <v>101230</v>
      </c>
      <c r="B8">
        <v>1946</v>
      </c>
      <c r="C8" t="s">
        <v>597</v>
      </c>
      <c r="D8" t="s">
        <v>598</v>
      </c>
      <c r="E8" t="s">
        <v>607</v>
      </c>
      <c r="G8">
        <v>217819</v>
      </c>
    </row>
    <row r="9" spans="1:13" x14ac:dyDescent="0.35">
      <c r="A9">
        <v>102983</v>
      </c>
      <c r="B9">
        <v>2130</v>
      </c>
      <c r="C9" t="s">
        <v>597</v>
      </c>
      <c r="D9" t="s">
        <v>598</v>
      </c>
      <c r="E9" t="s">
        <v>608</v>
      </c>
      <c r="G9">
        <v>221861</v>
      </c>
    </row>
    <row r="10" spans="1:13" x14ac:dyDescent="0.35">
      <c r="A10">
        <v>103573</v>
      </c>
      <c r="B10">
        <v>2537</v>
      </c>
      <c r="C10" t="s">
        <v>602</v>
      </c>
      <c r="D10" t="s">
        <v>603</v>
      </c>
      <c r="E10" t="s">
        <v>609</v>
      </c>
      <c r="G10">
        <v>222969</v>
      </c>
    </row>
    <row r="11" spans="1:13" x14ac:dyDescent="0.35">
      <c r="A11">
        <v>101184</v>
      </c>
      <c r="B11">
        <v>1933</v>
      </c>
      <c r="C11" t="s">
        <v>597</v>
      </c>
      <c r="D11" t="s">
        <v>598</v>
      </c>
      <c r="E11" t="s">
        <v>610</v>
      </c>
    </row>
    <row r="12" spans="1:13" x14ac:dyDescent="0.35">
      <c r="A12">
        <v>101611</v>
      </c>
      <c r="B12">
        <v>1973</v>
      </c>
      <c r="C12" t="s">
        <v>597</v>
      </c>
      <c r="D12" t="s">
        <v>598</v>
      </c>
      <c r="E12" t="s">
        <v>611</v>
      </c>
      <c r="G12">
        <v>217850</v>
      </c>
    </row>
    <row r="13" spans="1:13" x14ac:dyDescent="0.35">
      <c r="A13">
        <v>103230</v>
      </c>
      <c r="B13">
        <v>2158</v>
      </c>
      <c r="C13" t="s">
        <v>597</v>
      </c>
      <c r="D13" t="s">
        <v>598</v>
      </c>
      <c r="E13" t="s">
        <v>612</v>
      </c>
      <c r="G13">
        <v>222317</v>
      </c>
    </row>
    <row r="14" spans="1:13" x14ac:dyDescent="0.35">
      <c r="A14">
        <v>101200</v>
      </c>
      <c r="B14">
        <v>1941</v>
      </c>
      <c r="C14" t="s">
        <v>597</v>
      </c>
      <c r="D14" t="s">
        <v>598</v>
      </c>
      <c r="E14" t="s">
        <v>613</v>
      </c>
      <c r="G14">
        <v>217944</v>
      </c>
    </row>
    <row r="15" spans="1:13" x14ac:dyDescent="0.35">
      <c r="A15">
        <v>104006</v>
      </c>
      <c r="B15">
        <v>2205</v>
      </c>
      <c r="C15" t="s">
        <v>597</v>
      </c>
      <c r="D15" t="s">
        <v>598</v>
      </c>
      <c r="E15" t="s">
        <v>614</v>
      </c>
      <c r="G15">
        <v>226024</v>
      </c>
    </row>
    <row r="16" spans="1:13" x14ac:dyDescent="0.35">
      <c r="A16">
        <v>101130</v>
      </c>
      <c r="B16">
        <v>1917</v>
      </c>
      <c r="C16" t="s">
        <v>597</v>
      </c>
      <c r="D16" t="s">
        <v>598</v>
      </c>
      <c r="E16" t="s">
        <v>615</v>
      </c>
      <c r="G16">
        <v>219237</v>
      </c>
    </row>
    <row r="17" spans="1:7" x14ac:dyDescent="0.35">
      <c r="A17">
        <v>104274</v>
      </c>
      <c r="B17">
        <v>2634</v>
      </c>
      <c r="C17" t="s">
        <v>602</v>
      </c>
      <c r="D17" t="s">
        <v>603</v>
      </c>
      <c r="E17" t="s">
        <v>616</v>
      </c>
      <c r="G17">
        <v>227612</v>
      </c>
    </row>
    <row r="18" spans="1:7" x14ac:dyDescent="0.35">
      <c r="A18">
        <v>102423</v>
      </c>
      <c r="B18">
        <v>2083</v>
      </c>
      <c r="C18" t="s">
        <v>597</v>
      </c>
      <c r="D18" t="s">
        <v>598</v>
      </c>
      <c r="E18" t="s">
        <v>617</v>
      </c>
      <c r="G18">
        <v>220823</v>
      </c>
    </row>
    <row r="19" spans="1:7" x14ac:dyDescent="0.35">
      <c r="A19">
        <v>101810</v>
      </c>
      <c r="B19">
        <v>2003</v>
      </c>
      <c r="C19" t="s">
        <v>597</v>
      </c>
      <c r="D19" t="s">
        <v>598</v>
      </c>
      <c r="E19" t="s">
        <v>618</v>
      </c>
      <c r="G19">
        <v>220248</v>
      </c>
    </row>
    <row r="20" spans="1:7" x14ac:dyDescent="0.35">
      <c r="A20">
        <v>103021</v>
      </c>
      <c r="B20">
        <v>2477</v>
      </c>
      <c r="C20" t="s">
        <v>602</v>
      </c>
      <c r="D20" t="s">
        <v>603</v>
      </c>
      <c r="E20" t="s">
        <v>619</v>
      </c>
    </row>
    <row r="21" spans="1:7" x14ac:dyDescent="0.35">
      <c r="A21">
        <v>102521</v>
      </c>
      <c r="B21">
        <v>2097</v>
      </c>
      <c r="C21" t="s">
        <v>597</v>
      </c>
      <c r="D21" t="s">
        <v>598</v>
      </c>
      <c r="E21" t="s">
        <v>620</v>
      </c>
    </row>
    <row r="22" spans="1:7" x14ac:dyDescent="0.35">
      <c r="A22">
        <v>104151</v>
      </c>
      <c r="B22">
        <v>2220</v>
      </c>
      <c r="C22" t="s">
        <v>597</v>
      </c>
      <c r="D22" t="s">
        <v>598</v>
      </c>
      <c r="E22" t="s">
        <v>621</v>
      </c>
    </row>
    <row r="23" spans="1:7" x14ac:dyDescent="0.35">
      <c r="A23">
        <v>103992</v>
      </c>
      <c r="B23">
        <v>2203</v>
      </c>
      <c r="C23" t="s">
        <v>597</v>
      </c>
      <c r="D23" t="s">
        <v>598</v>
      </c>
      <c r="E23" t="s">
        <v>622</v>
      </c>
    </row>
    <row r="24" spans="1:7" x14ac:dyDescent="0.35">
      <c r="A24">
        <v>103539</v>
      </c>
      <c r="B24">
        <v>2174</v>
      </c>
      <c r="C24" t="s">
        <v>597</v>
      </c>
      <c r="D24" t="s">
        <v>598</v>
      </c>
      <c r="E24" t="s">
        <v>623</v>
      </c>
    </row>
    <row r="25" spans="1:7" x14ac:dyDescent="0.35">
      <c r="A25">
        <v>103190</v>
      </c>
      <c r="B25">
        <v>2153</v>
      </c>
      <c r="C25" t="s">
        <v>597</v>
      </c>
      <c r="D25" t="s">
        <v>598</v>
      </c>
      <c r="E25" t="s">
        <v>624</v>
      </c>
      <c r="G25">
        <v>220070</v>
      </c>
    </row>
    <row r="26" spans="1:7" x14ac:dyDescent="0.35">
      <c r="A26">
        <v>102812</v>
      </c>
      <c r="B26">
        <v>2123</v>
      </c>
      <c r="C26" t="s">
        <v>597</v>
      </c>
      <c r="D26" t="s">
        <v>598</v>
      </c>
      <c r="E26" t="s">
        <v>625</v>
      </c>
      <c r="F26">
        <v>1512</v>
      </c>
      <c r="G26">
        <v>221727</v>
      </c>
    </row>
    <row r="27" spans="1:7" x14ac:dyDescent="0.35">
      <c r="A27">
        <v>101745</v>
      </c>
      <c r="B27">
        <v>1992</v>
      </c>
      <c r="C27" t="s">
        <v>597</v>
      </c>
      <c r="D27" t="s">
        <v>598</v>
      </c>
      <c r="E27" t="s">
        <v>626</v>
      </c>
    </row>
    <row r="28" spans="1:7" x14ac:dyDescent="0.35">
      <c r="A28">
        <v>101824</v>
      </c>
      <c r="B28">
        <v>2009</v>
      </c>
      <c r="C28" t="s">
        <v>597</v>
      </c>
      <c r="D28" t="s">
        <v>598</v>
      </c>
      <c r="E28" t="s">
        <v>627</v>
      </c>
    </row>
    <row r="29" spans="1:7" x14ac:dyDescent="0.35">
      <c r="A29">
        <v>101980</v>
      </c>
      <c r="B29">
        <v>2039</v>
      </c>
      <c r="C29" t="s">
        <v>597</v>
      </c>
      <c r="D29" t="s">
        <v>598</v>
      </c>
      <c r="E29" t="s">
        <v>628</v>
      </c>
      <c r="F29">
        <v>1506</v>
      </c>
      <c r="G29">
        <v>1549</v>
      </c>
    </row>
    <row r="30" spans="1:7" x14ac:dyDescent="0.35">
      <c r="A30">
        <v>101911</v>
      </c>
      <c r="B30">
        <v>2022</v>
      </c>
      <c r="C30" t="s">
        <v>597</v>
      </c>
      <c r="D30" t="s">
        <v>598</v>
      </c>
      <c r="E30" t="s">
        <v>629</v>
      </c>
      <c r="G30">
        <v>219931</v>
      </c>
    </row>
    <row r="31" spans="1:7" x14ac:dyDescent="0.35">
      <c r="A31">
        <v>101199</v>
      </c>
      <c r="B31">
        <v>1940</v>
      </c>
      <c r="C31" t="s">
        <v>597</v>
      </c>
      <c r="D31" t="s">
        <v>598</v>
      </c>
      <c r="E31" t="s">
        <v>630</v>
      </c>
      <c r="G31">
        <v>219423</v>
      </c>
    </row>
    <row r="32" spans="1:7" x14ac:dyDescent="0.35">
      <c r="A32">
        <v>102978</v>
      </c>
      <c r="B32">
        <v>2126</v>
      </c>
      <c r="C32" t="s">
        <v>597</v>
      </c>
      <c r="D32" t="s">
        <v>598</v>
      </c>
      <c r="E32" t="s">
        <v>631</v>
      </c>
      <c r="G32">
        <v>221856</v>
      </c>
    </row>
    <row r="33" spans="1:7" x14ac:dyDescent="0.35">
      <c r="A33">
        <v>102563</v>
      </c>
      <c r="B33">
        <v>2100</v>
      </c>
      <c r="C33" t="s">
        <v>597</v>
      </c>
      <c r="D33" t="s">
        <v>598</v>
      </c>
      <c r="E33" t="s">
        <v>632</v>
      </c>
    </row>
    <row r="34" spans="1:7" x14ac:dyDescent="0.35">
      <c r="A34">
        <v>102485</v>
      </c>
      <c r="B34">
        <v>2094</v>
      </c>
      <c r="C34" t="s">
        <v>597</v>
      </c>
      <c r="D34" t="s">
        <v>598</v>
      </c>
      <c r="E34" t="s">
        <v>633</v>
      </c>
    </row>
    <row r="35" spans="1:7" x14ac:dyDescent="0.35">
      <c r="A35">
        <v>101749</v>
      </c>
      <c r="B35">
        <v>1994</v>
      </c>
      <c r="C35" t="s">
        <v>597</v>
      </c>
      <c r="D35" t="s">
        <v>598</v>
      </c>
      <c r="E35" t="s">
        <v>634</v>
      </c>
      <c r="G35">
        <v>217881</v>
      </c>
    </row>
    <row r="36" spans="1:7" x14ac:dyDescent="0.35">
      <c r="A36">
        <v>101188</v>
      </c>
      <c r="B36">
        <v>1934</v>
      </c>
      <c r="C36" t="s">
        <v>597</v>
      </c>
      <c r="D36" t="s">
        <v>598</v>
      </c>
      <c r="E36" t="s">
        <v>635</v>
      </c>
      <c r="G36">
        <v>219369</v>
      </c>
    </row>
    <row r="37" spans="1:7" x14ac:dyDescent="0.35">
      <c r="A37">
        <v>101231</v>
      </c>
      <c r="B37">
        <v>1947</v>
      </c>
      <c r="C37" t="s">
        <v>597</v>
      </c>
      <c r="D37" t="s">
        <v>598</v>
      </c>
      <c r="E37" t="s">
        <v>636</v>
      </c>
      <c r="G37">
        <v>219505</v>
      </c>
    </row>
    <row r="38" spans="1:7" x14ac:dyDescent="0.35">
      <c r="A38">
        <v>102991</v>
      </c>
      <c r="B38">
        <v>2138</v>
      </c>
      <c r="C38" t="s">
        <v>597</v>
      </c>
      <c r="D38" t="s">
        <v>598</v>
      </c>
      <c r="E38" t="s">
        <v>637</v>
      </c>
      <c r="G38">
        <v>222041</v>
      </c>
    </row>
    <row r="39" spans="1:7" x14ac:dyDescent="0.35">
      <c r="A39">
        <v>104074</v>
      </c>
      <c r="B39">
        <v>2212</v>
      </c>
      <c r="C39" t="s">
        <v>597</v>
      </c>
      <c r="D39" t="s">
        <v>598</v>
      </c>
      <c r="E39" t="s">
        <v>638</v>
      </c>
      <c r="G39">
        <v>227034</v>
      </c>
    </row>
    <row r="40" spans="1:7" x14ac:dyDescent="0.35">
      <c r="A40">
        <v>101170</v>
      </c>
      <c r="B40">
        <v>1930</v>
      </c>
      <c r="C40" t="s">
        <v>597</v>
      </c>
      <c r="D40" t="s">
        <v>598</v>
      </c>
      <c r="E40" t="s">
        <v>639</v>
      </c>
    </row>
    <row r="41" spans="1:7" x14ac:dyDescent="0.35">
      <c r="A41">
        <v>101614</v>
      </c>
      <c r="B41">
        <v>1975</v>
      </c>
      <c r="C41" t="s">
        <v>597</v>
      </c>
      <c r="D41" t="s">
        <v>598</v>
      </c>
      <c r="E41" t="s">
        <v>640</v>
      </c>
      <c r="G41">
        <v>219917</v>
      </c>
    </row>
    <row r="42" spans="1:7" x14ac:dyDescent="0.35">
      <c r="A42">
        <v>103398</v>
      </c>
      <c r="B42">
        <v>2166</v>
      </c>
      <c r="C42" t="s">
        <v>597</v>
      </c>
      <c r="D42" t="s">
        <v>598</v>
      </c>
      <c r="E42" t="s">
        <v>641</v>
      </c>
    </row>
    <row r="43" spans="1:7" x14ac:dyDescent="0.35">
      <c r="A43">
        <v>102771</v>
      </c>
      <c r="B43">
        <v>2115</v>
      </c>
      <c r="C43" t="s">
        <v>597</v>
      </c>
      <c r="D43" t="s">
        <v>598</v>
      </c>
      <c r="E43" t="s">
        <v>642</v>
      </c>
    </row>
    <row r="44" spans="1:7" x14ac:dyDescent="0.35">
      <c r="A44">
        <v>101864</v>
      </c>
      <c r="B44">
        <v>2015</v>
      </c>
      <c r="C44" t="s">
        <v>597</v>
      </c>
      <c r="D44" t="s">
        <v>598</v>
      </c>
      <c r="E44" t="s">
        <v>643</v>
      </c>
      <c r="G44">
        <v>217880</v>
      </c>
    </row>
    <row r="45" spans="1:7" x14ac:dyDescent="0.35">
      <c r="A45">
        <v>101950</v>
      </c>
      <c r="B45">
        <v>2030</v>
      </c>
      <c r="C45" t="s">
        <v>597</v>
      </c>
      <c r="D45" t="s">
        <v>598</v>
      </c>
      <c r="E45" t="s">
        <v>644</v>
      </c>
      <c r="G45">
        <v>220382</v>
      </c>
    </row>
    <row r="46" spans="1:7" x14ac:dyDescent="0.35">
      <c r="A46">
        <v>102985</v>
      </c>
      <c r="B46">
        <v>2132</v>
      </c>
      <c r="C46" t="s">
        <v>597</v>
      </c>
      <c r="D46" t="s">
        <v>598</v>
      </c>
      <c r="E46" t="s">
        <v>645</v>
      </c>
    </row>
    <row r="47" spans="1:7" x14ac:dyDescent="0.35">
      <c r="A47">
        <v>101143</v>
      </c>
      <c r="B47">
        <v>1922</v>
      </c>
      <c r="C47" t="s">
        <v>597</v>
      </c>
      <c r="D47" t="s">
        <v>598</v>
      </c>
      <c r="E47" t="s">
        <v>646</v>
      </c>
    </row>
    <row r="48" spans="1:7" x14ac:dyDescent="0.35">
      <c r="A48">
        <v>103336</v>
      </c>
      <c r="B48">
        <v>2163</v>
      </c>
      <c r="C48" t="s">
        <v>597</v>
      </c>
      <c r="D48" t="s">
        <v>598</v>
      </c>
      <c r="E48" t="s">
        <v>647</v>
      </c>
      <c r="G48">
        <v>222560</v>
      </c>
    </row>
    <row r="49" spans="1:7" x14ac:dyDescent="0.35">
      <c r="A49">
        <v>103176</v>
      </c>
      <c r="B49">
        <v>2150</v>
      </c>
      <c r="C49" t="s">
        <v>597</v>
      </c>
      <c r="D49" t="s">
        <v>598</v>
      </c>
      <c r="E49" t="s">
        <v>648</v>
      </c>
    </row>
    <row r="50" spans="1:7" x14ac:dyDescent="0.35">
      <c r="A50">
        <v>101206</v>
      </c>
      <c r="B50">
        <v>1943</v>
      </c>
      <c r="C50" t="s">
        <v>597</v>
      </c>
      <c r="D50" t="s">
        <v>598</v>
      </c>
      <c r="E50" t="s">
        <v>649</v>
      </c>
      <c r="G50">
        <v>217807</v>
      </c>
    </row>
    <row r="51" spans="1:7" x14ac:dyDescent="0.35">
      <c r="A51">
        <v>103222</v>
      </c>
      <c r="B51">
        <v>2156</v>
      </c>
      <c r="C51" t="s">
        <v>597</v>
      </c>
      <c r="D51" t="s">
        <v>598</v>
      </c>
      <c r="E51" t="s">
        <v>650</v>
      </c>
    </row>
    <row r="52" spans="1:7" x14ac:dyDescent="0.35">
      <c r="A52">
        <v>102441</v>
      </c>
      <c r="B52">
        <v>2088</v>
      </c>
      <c r="C52" t="s">
        <v>597</v>
      </c>
      <c r="D52" t="s">
        <v>598</v>
      </c>
      <c r="E52" t="s">
        <v>651</v>
      </c>
    </row>
    <row r="53" spans="1:7" x14ac:dyDescent="0.35">
      <c r="A53">
        <v>101106</v>
      </c>
      <c r="B53">
        <v>1909</v>
      </c>
      <c r="C53" t="s">
        <v>597</v>
      </c>
      <c r="D53" t="s">
        <v>598</v>
      </c>
      <c r="E53" t="s">
        <v>652</v>
      </c>
    </row>
    <row r="54" spans="1:7" x14ac:dyDescent="0.35">
      <c r="A54">
        <v>101823</v>
      </c>
      <c r="B54">
        <v>2008</v>
      </c>
      <c r="C54" t="s">
        <v>597</v>
      </c>
      <c r="D54" t="s">
        <v>598</v>
      </c>
      <c r="E54" t="s">
        <v>653</v>
      </c>
    </row>
    <row r="55" spans="1:7" x14ac:dyDescent="0.35">
      <c r="A55">
        <v>101140</v>
      </c>
      <c r="B55">
        <v>1921</v>
      </c>
      <c r="C55" t="s">
        <v>597</v>
      </c>
      <c r="D55" t="s">
        <v>598</v>
      </c>
      <c r="E55" t="s">
        <v>654</v>
      </c>
    </row>
    <row r="56" spans="1:7" x14ac:dyDescent="0.35">
      <c r="A56">
        <v>104212</v>
      </c>
      <c r="B56">
        <v>2228</v>
      </c>
      <c r="C56" t="s">
        <v>597</v>
      </c>
      <c r="D56" t="s">
        <v>598</v>
      </c>
      <c r="E56" t="s">
        <v>655</v>
      </c>
    </row>
    <row r="57" spans="1:7" x14ac:dyDescent="0.35">
      <c r="A57">
        <v>102349</v>
      </c>
      <c r="B57">
        <v>2073</v>
      </c>
      <c r="C57" t="s">
        <v>597</v>
      </c>
      <c r="D57" t="s">
        <v>598</v>
      </c>
      <c r="E57" t="s">
        <v>656</v>
      </c>
    </row>
    <row r="58" spans="1:7" x14ac:dyDescent="0.35">
      <c r="A58">
        <v>101819</v>
      </c>
      <c r="B58">
        <v>2006</v>
      </c>
      <c r="C58" t="s">
        <v>597</v>
      </c>
      <c r="D58" t="s">
        <v>598</v>
      </c>
      <c r="E58" t="s">
        <v>657</v>
      </c>
      <c r="G58">
        <v>220109</v>
      </c>
    </row>
    <row r="59" spans="1:7" x14ac:dyDescent="0.35">
      <c r="A59">
        <v>101984</v>
      </c>
      <c r="B59">
        <v>2041</v>
      </c>
      <c r="C59" t="s">
        <v>597</v>
      </c>
      <c r="D59" t="s">
        <v>598</v>
      </c>
      <c r="E59" t="s">
        <v>658</v>
      </c>
    </row>
    <row r="60" spans="1:7" x14ac:dyDescent="0.35">
      <c r="A60">
        <v>101944</v>
      </c>
      <c r="B60">
        <v>2329</v>
      </c>
      <c r="C60" t="s">
        <v>602</v>
      </c>
      <c r="D60" t="s">
        <v>603</v>
      </c>
      <c r="E60" t="s">
        <v>659</v>
      </c>
    </row>
    <row r="61" spans="1:7" x14ac:dyDescent="0.35">
      <c r="A61">
        <v>102228</v>
      </c>
      <c r="B61">
        <v>2060</v>
      </c>
      <c r="C61" t="s">
        <v>597</v>
      </c>
      <c r="D61" t="s">
        <v>598</v>
      </c>
      <c r="E61" t="s">
        <v>660</v>
      </c>
    </row>
    <row r="62" spans="1:7" x14ac:dyDescent="0.35">
      <c r="A62">
        <v>101639</v>
      </c>
      <c r="B62">
        <v>1983</v>
      </c>
      <c r="C62" t="s">
        <v>597</v>
      </c>
      <c r="D62" t="s">
        <v>598</v>
      </c>
      <c r="E62" t="s">
        <v>661</v>
      </c>
    </row>
    <row r="63" spans="1:7" x14ac:dyDescent="0.35">
      <c r="A63">
        <v>101291</v>
      </c>
      <c r="B63">
        <v>1965</v>
      </c>
      <c r="C63" t="s">
        <v>597</v>
      </c>
      <c r="D63" t="s">
        <v>598</v>
      </c>
      <c r="E63" t="s">
        <v>662</v>
      </c>
    </row>
    <row r="64" spans="1:7" x14ac:dyDescent="0.35">
      <c r="A64">
        <v>101795</v>
      </c>
      <c r="B64">
        <v>1999</v>
      </c>
      <c r="C64" t="s">
        <v>597</v>
      </c>
      <c r="D64" t="s">
        <v>598</v>
      </c>
      <c r="E64" t="s">
        <v>663</v>
      </c>
    </row>
    <row r="65" spans="1:7" x14ac:dyDescent="0.35">
      <c r="A65">
        <v>104101</v>
      </c>
      <c r="B65">
        <v>2213</v>
      </c>
      <c r="C65" t="s">
        <v>597</v>
      </c>
      <c r="D65" t="s">
        <v>598</v>
      </c>
      <c r="E65" t="s">
        <v>664</v>
      </c>
    </row>
    <row r="66" spans="1:7" x14ac:dyDescent="0.35">
      <c r="A66">
        <v>104295</v>
      </c>
      <c r="B66">
        <v>2639</v>
      </c>
      <c r="C66" t="s">
        <v>602</v>
      </c>
      <c r="D66" t="s">
        <v>603</v>
      </c>
      <c r="E66" t="s">
        <v>665</v>
      </c>
      <c r="G66">
        <v>227726</v>
      </c>
    </row>
    <row r="67" spans="1:7" x14ac:dyDescent="0.35">
      <c r="A67">
        <v>102285</v>
      </c>
      <c r="B67">
        <v>2382</v>
      </c>
      <c r="C67" t="s">
        <v>602</v>
      </c>
      <c r="D67" t="s">
        <v>603</v>
      </c>
      <c r="E67" t="s">
        <v>666</v>
      </c>
      <c r="G67">
        <v>1598</v>
      </c>
    </row>
    <row r="68" spans="1:7" x14ac:dyDescent="0.35">
      <c r="A68">
        <v>103857</v>
      </c>
      <c r="B68">
        <v>2194</v>
      </c>
      <c r="C68" t="s">
        <v>597</v>
      </c>
      <c r="D68" t="s">
        <v>598</v>
      </c>
      <c r="E68" t="s">
        <v>667</v>
      </c>
      <c r="G68">
        <v>225262</v>
      </c>
    </row>
    <row r="69" spans="1:7" x14ac:dyDescent="0.35">
      <c r="A69">
        <v>101922</v>
      </c>
      <c r="B69">
        <v>2024</v>
      </c>
      <c r="C69" t="s">
        <v>597</v>
      </c>
      <c r="D69" t="s">
        <v>598</v>
      </c>
      <c r="E69" t="s">
        <v>668</v>
      </c>
      <c r="G69">
        <v>532</v>
      </c>
    </row>
    <row r="70" spans="1:7" x14ac:dyDescent="0.35">
      <c r="A70">
        <v>101874</v>
      </c>
      <c r="B70">
        <v>2016</v>
      </c>
      <c r="C70" t="s">
        <v>597</v>
      </c>
      <c r="D70" t="s">
        <v>598</v>
      </c>
      <c r="E70" t="s">
        <v>669</v>
      </c>
    </row>
    <row r="71" spans="1:7" x14ac:dyDescent="0.35">
      <c r="A71">
        <v>101619</v>
      </c>
      <c r="B71">
        <v>1976</v>
      </c>
      <c r="C71" t="s">
        <v>597</v>
      </c>
      <c r="D71" t="s">
        <v>598</v>
      </c>
      <c r="E71" t="s">
        <v>670</v>
      </c>
    </row>
    <row r="72" spans="1:7" x14ac:dyDescent="0.35">
      <c r="A72">
        <v>104286</v>
      </c>
      <c r="B72">
        <v>2636</v>
      </c>
      <c r="C72" t="s">
        <v>602</v>
      </c>
      <c r="D72" t="s">
        <v>603</v>
      </c>
      <c r="E72" t="s">
        <v>671</v>
      </c>
      <c r="G72">
        <v>3238</v>
      </c>
    </row>
    <row r="73" spans="1:7" x14ac:dyDescent="0.35">
      <c r="A73">
        <v>104011</v>
      </c>
      <c r="B73">
        <v>2208</v>
      </c>
      <c r="C73" t="s">
        <v>597</v>
      </c>
      <c r="D73" t="s">
        <v>598</v>
      </c>
      <c r="E73" t="s">
        <v>672</v>
      </c>
      <c r="G73">
        <v>226028</v>
      </c>
    </row>
    <row r="74" spans="1:7" x14ac:dyDescent="0.35">
      <c r="A74">
        <v>102444</v>
      </c>
      <c r="B74">
        <v>2091</v>
      </c>
      <c r="C74" t="s">
        <v>597</v>
      </c>
      <c r="D74" t="s">
        <v>598</v>
      </c>
      <c r="E74" t="s">
        <v>673</v>
      </c>
    </row>
    <row r="75" spans="1:7" x14ac:dyDescent="0.35">
      <c r="A75">
        <v>102989</v>
      </c>
      <c r="B75">
        <v>2136</v>
      </c>
      <c r="C75" t="s">
        <v>597</v>
      </c>
      <c r="D75" t="s">
        <v>598</v>
      </c>
      <c r="E75" t="s">
        <v>674</v>
      </c>
      <c r="G75">
        <v>221985</v>
      </c>
    </row>
    <row r="76" spans="1:7" x14ac:dyDescent="0.35">
      <c r="A76">
        <v>104136</v>
      </c>
      <c r="B76">
        <v>2217</v>
      </c>
      <c r="C76" t="s">
        <v>597</v>
      </c>
      <c r="D76" t="s">
        <v>598</v>
      </c>
      <c r="E76" t="s">
        <v>675</v>
      </c>
    </row>
    <row r="77" spans="1:7" x14ac:dyDescent="0.35">
      <c r="A77">
        <v>102829</v>
      </c>
      <c r="B77">
        <v>2124</v>
      </c>
      <c r="C77" t="s">
        <v>597</v>
      </c>
      <c r="D77" t="s">
        <v>598</v>
      </c>
      <c r="E77" t="s">
        <v>676</v>
      </c>
    </row>
    <row r="78" spans="1:7" x14ac:dyDescent="0.35">
      <c r="A78">
        <v>103990</v>
      </c>
      <c r="B78">
        <v>2202</v>
      </c>
      <c r="C78" t="s">
        <v>597</v>
      </c>
      <c r="D78" t="s">
        <v>598</v>
      </c>
      <c r="E78" t="s">
        <v>677</v>
      </c>
    </row>
    <row r="79" spans="1:7" x14ac:dyDescent="0.35">
      <c r="A79">
        <v>101298</v>
      </c>
      <c r="B79">
        <v>1966</v>
      </c>
      <c r="C79" t="s">
        <v>597</v>
      </c>
      <c r="D79" t="s">
        <v>598</v>
      </c>
      <c r="E79" t="s">
        <v>678</v>
      </c>
      <c r="G79">
        <v>219957</v>
      </c>
    </row>
    <row r="80" spans="1:7" x14ac:dyDescent="0.35">
      <c r="A80">
        <v>104155</v>
      </c>
      <c r="B80">
        <v>2617</v>
      </c>
      <c r="C80" t="s">
        <v>602</v>
      </c>
      <c r="D80" t="s">
        <v>603</v>
      </c>
      <c r="E80" t="s">
        <v>679</v>
      </c>
      <c r="G80">
        <v>1384</v>
      </c>
    </row>
    <row r="81" spans="1:7" x14ac:dyDescent="0.35">
      <c r="A81">
        <v>101990</v>
      </c>
      <c r="B81">
        <v>2042</v>
      </c>
      <c r="C81" t="s">
        <v>597</v>
      </c>
      <c r="D81" t="s">
        <v>598</v>
      </c>
      <c r="E81" t="s">
        <v>680</v>
      </c>
    </row>
    <row r="82" spans="1:7" x14ac:dyDescent="0.35">
      <c r="A82">
        <v>102984</v>
      </c>
      <c r="B82">
        <v>2131</v>
      </c>
      <c r="C82" t="s">
        <v>597</v>
      </c>
      <c r="D82" t="s">
        <v>598</v>
      </c>
      <c r="E82" t="s">
        <v>681</v>
      </c>
      <c r="G82">
        <v>221862</v>
      </c>
    </row>
    <row r="83" spans="1:7" x14ac:dyDescent="0.35">
      <c r="A83">
        <v>102752</v>
      </c>
      <c r="B83">
        <v>2113</v>
      </c>
      <c r="C83" t="s">
        <v>597</v>
      </c>
      <c r="D83" t="s">
        <v>598</v>
      </c>
      <c r="E83" t="s">
        <v>682</v>
      </c>
    </row>
    <row r="84" spans="1:7" x14ac:dyDescent="0.35">
      <c r="A84">
        <v>102422</v>
      </c>
      <c r="B84">
        <v>2082</v>
      </c>
      <c r="C84" t="s">
        <v>597</v>
      </c>
      <c r="D84" t="s">
        <v>598</v>
      </c>
      <c r="E84" t="s">
        <v>683</v>
      </c>
    </row>
    <row r="85" spans="1:7" x14ac:dyDescent="0.35">
      <c r="A85">
        <v>101651</v>
      </c>
      <c r="B85">
        <v>1984</v>
      </c>
      <c r="C85" t="s">
        <v>597</v>
      </c>
      <c r="D85" t="s">
        <v>598</v>
      </c>
      <c r="E85" t="s">
        <v>684</v>
      </c>
      <c r="G85">
        <v>217892</v>
      </c>
    </row>
    <row r="86" spans="1:7" x14ac:dyDescent="0.35">
      <c r="A86">
        <v>102173</v>
      </c>
      <c r="B86">
        <v>2052</v>
      </c>
      <c r="C86" t="s">
        <v>597</v>
      </c>
      <c r="D86" t="s">
        <v>598</v>
      </c>
      <c r="E86" t="s">
        <v>685</v>
      </c>
    </row>
    <row r="87" spans="1:7" x14ac:dyDescent="0.35">
      <c r="A87">
        <v>104203</v>
      </c>
      <c r="B87">
        <v>2225</v>
      </c>
      <c r="C87" t="s">
        <v>597</v>
      </c>
      <c r="D87" t="s">
        <v>598</v>
      </c>
      <c r="E87" t="s">
        <v>686</v>
      </c>
      <c r="G87">
        <v>227352</v>
      </c>
    </row>
    <row r="88" spans="1:7" x14ac:dyDescent="0.35">
      <c r="A88">
        <v>103600</v>
      </c>
      <c r="B88">
        <v>2176</v>
      </c>
      <c r="C88" t="s">
        <v>597</v>
      </c>
      <c r="D88" t="s">
        <v>598</v>
      </c>
      <c r="E88" t="s">
        <v>687</v>
      </c>
      <c r="G88">
        <v>223011</v>
      </c>
    </row>
    <row r="89" spans="1:7" x14ac:dyDescent="0.35">
      <c r="A89">
        <v>102007</v>
      </c>
      <c r="B89">
        <v>2046</v>
      </c>
      <c r="C89" t="s">
        <v>597</v>
      </c>
      <c r="D89" t="s">
        <v>598</v>
      </c>
      <c r="E89" t="s">
        <v>688</v>
      </c>
      <c r="G89">
        <v>1828</v>
      </c>
    </row>
    <row r="90" spans="1:7" x14ac:dyDescent="0.35">
      <c r="A90">
        <v>101626</v>
      </c>
      <c r="B90">
        <v>1978</v>
      </c>
      <c r="C90" t="s">
        <v>597</v>
      </c>
      <c r="D90" t="s">
        <v>598</v>
      </c>
      <c r="E90" t="s">
        <v>689</v>
      </c>
    </row>
    <row r="91" spans="1:7" x14ac:dyDescent="0.35">
      <c r="A91">
        <v>101706</v>
      </c>
      <c r="B91">
        <v>1989</v>
      </c>
      <c r="C91" t="s">
        <v>597</v>
      </c>
      <c r="D91" t="s">
        <v>598</v>
      </c>
      <c r="E91" t="s">
        <v>690</v>
      </c>
      <c r="G91">
        <v>1808</v>
      </c>
    </row>
    <row r="92" spans="1:7" x14ac:dyDescent="0.35">
      <c r="A92">
        <v>103451</v>
      </c>
      <c r="B92">
        <v>2168</v>
      </c>
      <c r="C92" t="s">
        <v>597</v>
      </c>
      <c r="D92" t="s">
        <v>598</v>
      </c>
      <c r="E92" t="s">
        <v>691</v>
      </c>
      <c r="G92">
        <v>592</v>
      </c>
    </row>
    <row r="93" spans="1:7" x14ac:dyDescent="0.35">
      <c r="A93">
        <v>104166</v>
      </c>
      <c r="B93">
        <v>2221</v>
      </c>
      <c r="C93" t="s">
        <v>597</v>
      </c>
      <c r="D93" t="s">
        <v>598</v>
      </c>
      <c r="E93" t="s">
        <v>692</v>
      </c>
      <c r="G93">
        <v>226812</v>
      </c>
    </row>
    <row r="94" spans="1:7" x14ac:dyDescent="0.35">
      <c r="A94">
        <v>101983</v>
      </c>
      <c r="B94">
        <v>2040</v>
      </c>
      <c r="C94" t="s">
        <v>597</v>
      </c>
      <c r="D94" t="s">
        <v>598</v>
      </c>
      <c r="E94" t="s">
        <v>693</v>
      </c>
    </row>
    <row r="95" spans="1:7" x14ac:dyDescent="0.35">
      <c r="A95">
        <v>101783</v>
      </c>
      <c r="B95">
        <v>1998</v>
      </c>
      <c r="C95" t="s">
        <v>597</v>
      </c>
      <c r="D95" t="s">
        <v>598</v>
      </c>
      <c r="E95" t="s">
        <v>694</v>
      </c>
      <c r="F95">
        <v>1703</v>
      </c>
      <c r="G95">
        <v>3079</v>
      </c>
    </row>
    <row r="96" spans="1:7" x14ac:dyDescent="0.35">
      <c r="A96">
        <v>102810</v>
      </c>
      <c r="B96">
        <v>2121</v>
      </c>
      <c r="C96" t="s">
        <v>597</v>
      </c>
      <c r="D96" t="s">
        <v>598</v>
      </c>
      <c r="E96" t="s">
        <v>695</v>
      </c>
    </row>
    <row r="97" spans="1:7" x14ac:dyDescent="0.35">
      <c r="A97">
        <v>102612</v>
      </c>
      <c r="B97">
        <v>2101</v>
      </c>
      <c r="C97" t="s">
        <v>597</v>
      </c>
      <c r="D97" t="s">
        <v>598</v>
      </c>
      <c r="E97" t="s">
        <v>696</v>
      </c>
      <c r="G97">
        <v>221158</v>
      </c>
    </row>
    <row r="98" spans="1:7" x14ac:dyDescent="0.35">
      <c r="A98">
        <v>101778</v>
      </c>
      <c r="B98">
        <v>1997</v>
      </c>
      <c r="C98" t="s">
        <v>597</v>
      </c>
      <c r="D98" t="s">
        <v>598</v>
      </c>
      <c r="E98" t="s">
        <v>697</v>
      </c>
      <c r="G98">
        <v>218419</v>
      </c>
    </row>
    <row r="99" spans="1:7" x14ac:dyDescent="0.35">
      <c r="A99">
        <v>101242</v>
      </c>
      <c r="B99">
        <v>1952</v>
      </c>
      <c r="C99" t="s">
        <v>597</v>
      </c>
      <c r="D99" t="s">
        <v>598</v>
      </c>
      <c r="E99" t="s">
        <v>698</v>
      </c>
      <c r="G99">
        <v>219554</v>
      </c>
    </row>
    <row r="100" spans="1:7" x14ac:dyDescent="0.35">
      <c r="A100">
        <v>102282</v>
      </c>
      <c r="B100">
        <v>2067</v>
      </c>
      <c r="C100" t="s">
        <v>597</v>
      </c>
      <c r="D100" t="s">
        <v>598</v>
      </c>
      <c r="E100" t="s">
        <v>699</v>
      </c>
      <c r="G100">
        <v>217816</v>
      </c>
    </row>
    <row r="101" spans="1:7" x14ac:dyDescent="0.35">
      <c r="A101">
        <v>102465</v>
      </c>
      <c r="B101">
        <v>2092</v>
      </c>
      <c r="C101" t="s">
        <v>597</v>
      </c>
      <c r="D101" t="s">
        <v>598</v>
      </c>
      <c r="E101" t="s">
        <v>700</v>
      </c>
      <c r="G101">
        <v>220927</v>
      </c>
    </row>
    <row r="102" spans="1:7" x14ac:dyDescent="0.35">
      <c r="A102">
        <v>103632</v>
      </c>
      <c r="B102">
        <v>2179</v>
      </c>
      <c r="C102" t="s">
        <v>597</v>
      </c>
      <c r="D102" t="s">
        <v>598</v>
      </c>
      <c r="E102" t="s">
        <v>701</v>
      </c>
      <c r="G102">
        <v>223021</v>
      </c>
    </row>
    <row r="103" spans="1:7" x14ac:dyDescent="0.35">
      <c r="A103">
        <v>103149</v>
      </c>
      <c r="B103">
        <v>2496</v>
      </c>
      <c r="C103" t="s">
        <v>602</v>
      </c>
      <c r="D103" t="s">
        <v>603</v>
      </c>
      <c r="E103" t="s">
        <v>221</v>
      </c>
      <c r="G103">
        <v>1756</v>
      </c>
    </row>
    <row r="104" spans="1:7" x14ac:dyDescent="0.35">
      <c r="A104">
        <v>103030</v>
      </c>
      <c r="B104">
        <v>2141</v>
      </c>
      <c r="C104" t="s">
        <v>597</v>
      </c>
      <c r="D104" t="s">
        <v>598</v>
      </c>
      <c r="E104" t="s">
        <v>702</v>
      </c>
    </row>
    <row r="105" spans="1:7" x14ac:dyDescent="0.35">
      <c r="A105">
        <v>104118</v>
      </c>
      <c r="B105">
        <v>2215</v>
      </c>
      <c r="C105" t="s">
        <v>597</v>
      </c>
      <c r="D105" t="s">
        <v>598</v>
      </c>
      <c r="E105" t="s">
        <v>703</v>
      </c>
      <c r="G105">
        <v>226384</v>
      </c>
    </row>
    <row r="106" spans="1:7" x14ac:dyDescent="0.35">
      <c r="A106">
        <v>103767</v>
      </c>
      <c r="B106">
        <v>2189</v>
      </c>
      <c r="C106" t="s">
        <v>597</v>
      </c>
      <c r="D106" t="s">
        <v>598</v>
      </c>
      <c r="E106" t="s">
        <v>704</v>
      </c>
    </row>
    <row r="107" spans="1:7" x14ac:dyDescent="0.35">
      <c r="A107">
        <v>102304</v>
      </c>
      <c r="B107">
        <v>2069</v>
      </c>
      <c r="C107" t="s">
        <v>597</v>
      </c>
      <c r="D107" t="s">
        <v>598</v>
      </c>
      <c r="E107" t="s">
        <v>705</v>
      </c>
      <c r="G107">
        <v>23139</v>
      </c>
    </row>
    <row r="108" spans="1:7" x14ac:dyDescent="0.35">
      <c r="A108">
        <v>101117</v>
      </c>
      <c r="B108">
        <v>2240</v>
      </c>
      <c r="C108" t="s">
        <v>602</v>
      </c>
      <c r="D108" t="s">
        <v>603</v>
      </c>
      <c r="E108" t="s">
        <v>706</v>
      </c>
      <c r="G108">
        <v>926</v>
      </c>
    </row>
    <row r="109" spans="1:7" x14ac:dyDescent="0.35">
      <c r="A109">
        <v>102169</v>
      </c>
      <c r="B109">
        <v>2051</v>
      </c>
      <c r="C109" t="s">
        <v>597</v>
      </c>
      <c r="D109" t="s">
        <v>598</v>
      </c>
      <c r="E109" t="s">
        <v>707</v>
      </c>
      <c r="G109">
        <v>220499</v>
      </c>
    </row>
    <row r="110" spans="1:7" x14ac:dyDescent="0.35">
      <c r="A110">
        <v>103317</v>
      </c>
      <c r="B110">
        <v>2162</v>
      </c>
      <c r="C110" t="s">
        <v>597</v>
      </c>
      <c r="D110" t="s">
        <v>598</v>
      </c>
      <c r="E110" t="s">
        <v>708</v>
      </c>
    </row>
    <row r="111" spans="1:7" x14ac:dyDescent="0.35">
      <c r="A111">
        <v>101156</v>
      </c>
      <c r="B111">
        <v>1925</v>
      </c>
      <c r="C111" t="s">
        <v>597</v>
      </c>
      <c r="D111" t="s">
        <v>598</v>
      </c>
      <c r="E111" t="s">
        <v>709</v>
      </c>
    </row>
    <row r="112" spans="1:7" x14ac:dyDescent="0.35">
      <c r="A112">
        <v>101146</v>
      </c>
      <c r="B112">
        <v>1924</v>
      </c>
      <c r="C112" t="s">
        <v>597</v>
      </c>
      <c r="D112" t="s">
        <v>598</v>
      </c>
      <c r="E112" t="s">
        <v>710</v>
      </c>
    </row>
    <row r="113" spans="1:7" x14ac:dyDescent="0.35">
      <c r="A113">
        <v>103594</v>
      </c>
      <c r="B113">
        <v>2547</v>
      </c>
      <c r="C113" t="s">
        <v>602</v>
      </c>
      <c r="D113" t="s">
        <v>603</v>
      </c>
      <c r="E113" t="s">
        <v>711</v>
      </c>
      <c r="G113">
        <v>223004</v>
      </c>
    </row>
    <row r="114" spans="1:7" x14ac:dyDescent="0.35">
      <c r="A114">
        <v>101919</v>
      </c>
      <c r="B114">
        <v>2023</v>
      </c>
      <c r="C114" t="s">
        <v>597</v>
      </c>
      <c r="D114" t="s">
        <v>598</v>
      </c>
      <c r="E114" t="s">
        <v>712</v>
      </c>
    </row>
    <row r="115" spans="1:7" x14ac:dyDescent="0.35">
      <c r="A115">
        <v>101631</v>
      </c>
      <c r="B115">
        <v>1981</v>
      </c>
      <c r="C115" t="s">
        <v>597</v>
      </c>
      <c r="D115" t="s">
        <v>598</v>
      </c>
      <c r="E115" t="s">
        <v>713</v>
      </c>
    </row>
    <row r="116" spans="1:7" x14ac:dyDescent="0.35">
      <c r="A116">
        <v>103508</v>
      </c>
      <c r="B116">
        <v>2170</v>
      </c>
      <c r="C116" t="s">
        <v>597</v>
      </c>
      <c r="D116" t="s">
        <v>598</v>
      </c>
      <c r="E116" t="s">
        <v>714</v>
      </c>
      <c r="G116">
        <v>2150</v>
      </c>
    </row>
    <row r="117" spans="1:7" x14ac:dyDescent="0.35">
      <c r="A117">
        <v>103791</v>
      </c>
      <c r="B117">
        <v>2192</v>
      </c>
      <c r="C117" t="s">
        <v>597</v>
      </c>
      <c r="D117" t="s">
        <v>598</v>
      </c>
      <c r="E117" t="s">
        <v>715</v>
      </c>
    </row>
    <row r="118" spans="1:7" x14ac:dyDescent="0.35">
      <c r="A118">
        <v>101764</v>
      </c>
      <c r="B118">
        <v>1996</v>
      </c>
      <c r="C118" t="s">
        <v>597</v>
      </c>
      <c r="D118" t="s">
        <v>598</v>
      </c>
      <c r="E118" t="s">
        <v>716</v>
      </c>
    </row>
    <row r="119" spans="1:7" x14ac:dyDescent="0.35">
      <c r="A119">
        <v>102746</v>
      </c>
      <c r="B119">
        <v>2457</v>
      </c>
      <c r="C119" t="s">
        <v>602</v>
      </c>
      <c r="D119" t="s">
        <v>603</v>
      </c>
      <c r="E119" t="s">
        <v>717</v>
      </c>
      <c r="G119">
        <v>15099</v>
      </c>
    </row>
    <row r="120" spans="1:7" x14ac:dyDescent="0.35">
      <c r="A120">
        <v>101961</v>
      </c>
      <c r="B120">
        <v>2032</v>
      </c>
      <c r="C120" t="s">
        <v>597</v>
      </c>
      <c r="D120" t="s">
        <v>598</v>
      </c>
      <c r="E120" t="s">
        <v>718</v>
      </c>
    </row>
    <row r="121" spans="1:7" x14ac:dyDescent="0.35">
      <c r="A121">
        <v>103525</v>
      </c>
      <c r="B121">
        <v>2172</v>
      </c>
      <c r="C121" t="s">
        <v>597</v>
      </c>
      <c r="D121" t="s">
        <v>598</v>
      </c>
      <c r="E121" t="s">
        <v>719</v>
      </c>
    </row>
    <row r="122" spans="1:7" x14ac:dyDescent="0.35">
      <c r="A122">
        <v>103765</v>
      </c>
      <c r="B122">
        <v>2187</v>
      </c>
      <c r="C122" t="s">
        <v>597</v>
      </c>
      <c r="D122" t="s">
        <v>598</v>
      </c>
      <c r="E122" t="s">
        <v>720</v>
      </c>
      <c r="G122">
        <v>225125</v>
      </c>
    </row>
    <row r="123" spans="1:7" x14ac:dyDescent="0.35">
      <c r="A123">
        <v>101145</v>
      </c>
      <c r="B123">
        <v>1923</v>
      </c>
      <c r="C123" t="s">
        <v>597</v>
      </c>
      <c r="D123" t="s">
        <v>598</v>
      </c>
      <c r="E123" t="s">
        <v>721</v>
      </c>
    </row>
    <row r="124" spans="1:7" x14ac:dyDescent="0.35">
      <c r="A124">
        <v>103868</v>
      </c>
      <c r="B124">
        <v>2196</v>
      </c>
      <c r="C124" t="s">
        <v>597</v>
      </c>
      <c r="D124" t="s">
        <v>598</v>
      </c>
      <c r="E124" t="s">
        <v>722</v>
      </c>
    </row>
    <row r="125" spans="1:7" x14ac:dyDescent="0.35">
      <c r="A125">
        <v>104248</v>
      </c>
      <c r="B125">
        <v>2230</v>
      </c>
      <c r="C125" t="s">
        <v>597</v>
      </c>
      <c r="D125" t="s">
        <v>598</v>
      </c>
      <c r="E125" t="s">
        <v>723</v>
      </c>
      <c r="G125">
        <v>227421</v>
      </c>
    </row>
    <row r="126" spans="1:7" x14ac:dyDescent="0.35">
      <c r="A126">
        <v>102307</v>
      </c>
      <c r="B126">
        <v>2070</v>
      </c>
      <c r="C126" t="s">
        <v>597</v>
      </c>
      <c r="D126" t="s">
        <v>598</v>
      </c>
      <c r="E126" t="s">
        <v>724</v>
      </c>
      <c r="G126">
        <v>2725</v>
      </c>
    </row>
    <row r="127" spans="1:7" x14ac:dyDescent="0.35">
      <c r="A127">
        <v>102409</v>
      </c>
      <c r="B127">
        <v>2081</v>
      </c>
      <c r="C127" t="s">
        <v>597</v>
      </c>
      <c r="D127" t="s">
        <v>598</v>
      </c>
      <c r="E127" t="s">
        <v>725</v>
      </c>
      <c r="G127">
        <v>220854</v>
      </c>
    </row>
    <row r="128" spans="1:7" x14ac:dyDescent="0.35">
      <c r="A128">
        <v>101848</v>
      </c>
      <c r="B128">
        <v>2013</v>
      </c>
      <c r="C128" t="s">
        <v>597</v>
      </c>
      <c r="D128" t="s">
        <v>598</v>
      </c>
      <c r="E128" t="s">
        <v>726</v>
      </c>
    </row>
    <row r="129" spans="1:7" x14ac:dyDescent="0.35">
      <c r="A129">
        <v>101269</v>
      </c>
      <c r="B129">
        <v>1955</v>
      </c>
      <c r="C129" t="s">
        <v>597</v>
      </c>
      <c r="D129" t="s">
        <v>598</v>
      </c>
      <c r="E129" t="s">
        <v>727</v>
      </c>
    </row>
    <row r="130" spans="1:7" x14ac:dyDescent="0.35">
      <c r="A130">
        <v>103605</v>
      </c>
      <c r="B130">
        <v>2178</v>
      </c>
      <c r="C130" t="s">
        <v>597</v>
      </c>
      <c r="D130" t="s">
        <v>598</v>
      </c>
      <c r="E130" t="s">
        <v>728</v>
      </c>
    </row>
    <row r="131" spans="1:7" x14ac:dyDescent="0.35">
      <c r="A131">
        <v>101859</v>
      </c>
      <c r="B131">
        <v>2014</v>
      </c>
      <c r="C131" t="s">
        <v>597</v>
      </c>
      <c r="D131" t="s">
        <v>598</v>
      </c>
      <c r="E131" t="s">
        <v>729</v>
      </c>
      <c r="G131">
        <v>220213</v>
      </c>
    </row>
    <row r="132" spans="1:7" x14ac:dyDescent="0.35">
      <c r="A132">
        <v>104009</v>
      </c>
      <c r="B132">
        <v>2206</v>
      </c>
      <c r="C132" t="s">
        <v>597</v>
      </c>
      <c r="D132" t="s">
        <v>598</v>
      </c>
      <c r="E132" t="s">
        <v>730</v>
      </c>
      <c r="G132">
        <v>226030</v>
      </c>
    </row>
    <row r="133" spans="1:7" x14ac:dyDescent="0.35">
      <c r="A133">
        <v>101080</v>
      </c>
      <c r="B133">
        <v>1901</v>
      </c>
      <c r="C133" t="s">
        <v>597</v>
      </c>
      <c r="D133" t="s">
        <v>598</v>
      </c>
      <c r="E133" t="s">
        <v>731</v>
      </c>
      <c r="G133">
        <v>217936</v>
      </c>
    </row>
    <row r="134" spans="1:7" x14ac:dyDescent="0.35">
      <c r="A134">
        <v>101124</v>
      </c>
      <c r="B134">
        <v>1916</v>
      </c>
      <c r="C134" t="s">
        <v>597</v>
      </c>
      <c r="D134" t="s">
        <v>598</v>
      </c>
      <c r="E134" t="s">
        <v>732</v>
      </c>
      <c r="G134">
        <v>219366</v>
      </c>
    </row>
    <row r="135" spans="1:7" x14ac:dyDescent="0.35">
      <c r="A135">
        <v>103738</v>
      </c>
      <c r="B135">
        <v>2184</v>
      </c>
      <c r="C135" t="s">
        <v>597</v>
      </c>
      <c r="D135" t="s">
        <v>598</v>
      </c>
      <c r="E135" t="s">
        <v>733</v>
      </c>
    </row>
    <row r="136" spans="1:7" x14ac:dyDescent="0.35">
      <c r="A136">
        <v>102192</v>
      </c>
      <c r="B136">
        <v>2362</v>
      </c>
      <c r="C136" t="s">
        <v>602</v>
      </c>
      <c r="D136" t="s">
        <v>603</v>
      </c>
      <c r="E136" t="s">
        <v>734</v>
      </c>
    </row>
    <row r="137" spans="1:7" x14ac:dyDescent="0.35">
      <c r="A137">
        <v>103099</v>
      </c>
      <c r="B137">
        <v>2143</v>
      </c>
      <c r="C137" t="s">
        <v>597</v>
      </c>
      <c r="D137" t="s">
        <v>598</v>
      </c>
      <c r="E137" t="s">
        <v>735</v>
      </c>
      <c r="G137">
        <v>222047</v>
      </c>
    </row>
    <row r="138" spans="1:7" x14ac:dyDescent="0.35">
      <c r="A138">
        <v>102219</v>
      </c>
      <c r="B138">
        <v>2057</v>
      </c>
      <c r="C138" t="s">
        <v>597</v>
      </c>
      <c r="D138" t="s">
        <v>598</v>
      </c>
      <c r="E138" t="s">
        <v>736</v>
      </c>
      <c r="G138">
        <v>845</v>
      </c>
    </row>
    <row r="139" spans="1:7" x14ac:dyDescent="0.35">
      <c r="A139">
        <v>103985</v>
      </c>
      <c r="B139">
        <v>2201</v>
      </c>
      <c r="C139" t="s">
        <v>597</v>
      </c>
      <c r="D139" t="s">
        <v>598</v>
      </c>
      <c r="E139" t="s">
        <v>737</v>
      </c>
    </row>
    <row r="140" spans="1:7" x14ac:dyDescent="0.35">
      <c r="A140">
        <v>101926</v>
      </c>
      <c r="B140">
        <v>2026</v>
      </c>
      <c r="C140" t="s">
        <v>597</v>
      </c>
      <c r="D140" t="s">
        <v>598</v>
      </c>
      <c r="E140" t="s">
        <v>738</v>
      </c>
    </row>
    <row r="141" spans="1:7" x14ac:dyDescent="0.35">
      <c r="A141">
        <v>101882</v>
      </c>
      <c r="B141">
        <v>2018</v>
      </c>
      <c r="C141" t="s">
        <v>597</v>
      </c>
      <c r="D141" t="s">
        <v>598</v>
      </c>
      <c r="E141" t="s">
        <v>739</v>
      </c>
      <c r="G141">
        <v>2262</v>
      </c>
    </row>
    <row r="142" spans="1:7" x14ac:dyDescent="0.35">
      <c r="A142">
        <v>104211</v>
      </c>
      <c r="B142">
        <v>2227</v>
      </c>
      <c r="C142" t="s">
        <v>597</v>
      </c>
      <c r="D142" t="s">
        <v>598</v>
      </c>
      <c r="E142" t="s">
        <v>740</v>
      </c>
      <c r="G142">
        <v>227181</v>
      </c>
    </row>
    <row r="143" spans="1:7" x14ac:dyDescent="0.35">
      <c r="A143">
        <v>104305</v>
      </c>
      <c r="B143">
        <v>2642</v>
      </c>
      <c r="C143" t="s">
        <v>602</v>
      </c>
      <c r="D143" t="s">
        <v>603</v>
      </c>
      <c r="E143" t="s">
        <v>481</v>
      </c>
      <c r="G143">
        <v>227829</v>
      </c>
    </row>
    <row r="144" spans="1:7" x14ac:dyDescent="0.35">
      <c r="A144">
        <v>101800</v>
      </c>
      <c r="B144">
        <v>2002</v>
      </c>
      <c r="C144" t="s">
        <v>597</v>
      </c>
      <c r="D144" t="s">
        <v>598</v>
      </c>
      <c r="E144" t="s">
        <v>741</v>
      </c>
      <c r="G144">
        <v>220077</v>
      </c>
    </row>
    <row r="145" spans="1:7" x14ac:dyDescent="0.35">
      <c r="A145">
        <v>103506</v>
      </c>
      <c r="B145">
        <v>956</v>
      </c>
      <c r="C145" t="s">
        <v>597</v>
      </c>
      <c r="D145" t="s">
        <v>742</v>
      </c>
      <c r="E145" t="s">
        <v>743</v>
      </c>
      <c r="F145">
        <v>484</v>
      </c>
      <c r="G145">
        <v>222859</v>
      </c>
    </row>
    <row r="146" spans="1:7" x14ac:dyDescent="0.35">
      <c r="A146">
        <v>103538</v>
      </c>
      <c r="B146">
        <v>2173</v>
      </c>
      <c r="C146" t="s">
        <v>597</v>
      </c>
      <c r="D146" t="s">
        <v>598</v>
      </c>
      <c r="E146" t="s">
        <v>744</v>
      </c>
      <c r="G146">
        <v>222925</v>
      </c>
    </row>
    <row r="147" spans="1:7" x14ac:dyDescent="0.35">
      <c r="A147">
        <v>103741</v>
      </c>
      <c r="B147">
        <v>2185</v>
      </c>
      <c r="C147" t="s">
        <v>597</v>
      </c>
      <c r="D147" t="s">
        <v>598</v>
      </c>
      <c r="E147" t="s">
        <v>745</v>
      </c>
      <c r="G147">
        <v>1227</v>
      </c>
    </row>
    <row r="148" spans="1:7" x14ac:dyDescent="0.35">
      <c r="A148">
        <v>101178</v>
      </c>
      <c r="B148">
        <v>2245</v>
      </c>
      <c r="C148" t="s">
        <v>602</v>
      </c>
      <c r="D148" t="s">
        <v>603</v>
      </c>
      <c r="E148" t="s">
        <v>746</v>
      </c>
      <c r="G148">
        <v>220058</v>
      </c>
    </row>
    <row r="149" spans="1:7" x14ac:dyDescent="0.35">
      <c r="A149">
        <v>103116</v>
      </c>
      <c r="B149">
        <v>2147</v>
      </c>
      <c r="C149" t="s">
        <v>597</v>
      </c>
      <c r="D149" t="s">
        <v>598</v>
      </c>
      <c r="E149" t="s">
        <v>747</v>
      </c>
      <c r="G149">
        <v>222080</v>
      </c>
    </row>
    <row r="150" spans="1:7" x14ac:dyDescent="0.35">
      <c r="A150">
        <v>103179</v>
      </c>
      <c r="B150">
        <v>2151</v>
      </c>
      <c r="C150" t="s">
        <v>597</v>
      </c>
      <c r="D150" t="s">
        <v>598</v>
      </c>
      <c r="E150" t="s">
        <v>748</v>
      </c>
    </row>
    <row r="151" spans="1:7" x14ac:dyDescent="0.35">
      <c r="A151">
        <v>101254</v>
      </c>
      <c r="B151">
        <v>1954</v>
      </c>
      <c r="C151" t="s">
        <v>597</v>
      </c>
      <c r="D151" t="s">
        <v>598</v>
      </c>
      <c r="E151" t="s">
        <v>749</v>
      </c>
    </row>
    <row r="152" spans="1:7" x14ac:dyDescent="0.35">
      <c r="A152">
        <v>102749</v>
      </c>
      <c r="B152">
        <v>2112</v>
      </c>
      <c r="C152" t="s">
        <v>597</v>
      </c>
      <c r="D152" t="s">
        <v>598</v>
      </c>
      <c r="E152" t="s">
        <v>750</v>
      </c>
    </row>
    <row r="153" spans="1:7" x14ac:dyDescent="0.35">
      <c r="A153">
        <v>102496</v>
      </c>
      <c r="B153">
        <v>2095</v>
      </c>
      <c r="C153" t="s">
        <v>597</v>
      </c>
      <c r="D153" t="s">
        <v>598</v>
      </c>
      <c r="E153" t="s">
        <v>751</v>
      </c>
    </row>
    <row r="154" spans="1:7" x14ac:dyDescent="0.35">
      <c r="A154">
        <v>101190</v>
      </c>
      <c r="B154">
        <v>1936</v>
      </c>
      <c r="C154" t="s">
        <v>597</v>
      </c>
      <c r="D154" t="s">
        <v>598</v>
      </c>
      <c r="E154" t="s">
        <v>752</v>
      </c>
      <c r="G154">
        <v>219371</v>
      </c>
    </row>
    <row r="155" spans="1:7" x14ac:dyDescent="0.35">
      <c r="A155">
        <v>101306</v>
      </c>
      <c r="B155">
        <v>1969</v>
      </c>
      <c r="C155" t="s">
        <v>597</v>
      </c>
      <c r="D155" t="s">
        <v>598</v>
      </c>
      <c r="E155" t="s">
        <v>753</v>
      </c>
    </row>
    <row r="156" spans="1:7" x14ac:dyDescent="0.35">
      <c r="A156">
        <v>102277</v>
      </c>
      <c r="B156">
        <v>2066</v>
      </c>
      <c r="C156" t="s">
        <v>597</v>
      </c>
      <c r="D156" t="s">
        <v>598</v>
      </c>
      <c r="E156" t="s">
        <v>754</v>
      </c>
    </row>
    <row r="157" spans="1:7" x14ac:dyDescent="0.35">
      <c r="A157">
        <v>102019</v>
      </c>
      <c r="B157">
        <v>2343</v>
      </c>
      <c r="C157" t="s">
        <v>602</v>
      </c>
      <c r="D157" t="s">
        <v>603</v>
      </c>
      <c r="E157" t="s">
        <v>755</v>
      </c>
    </row>
    <row r="158" spans="1:7" x14ac:dyDescent="0.35">
      <c r="A158">
        <v>103729</v>
      </c>
      <c r="B158">
        <v>2182</v>
      </c>
      <c r="C158" t="s">
        <v>597</v>
      </c>
      <c r="D158" t="s">
        <v>598</v>
      </c>
      <c r="E158" t="s">
        <v>756</v>
      </c>
      <c r="G158">
        <v>3220</v>
      </c>
    </row>
    <row r="159" spans="1:7" x14ac:dyDescent="0.35">
      <c r="A159">
        <v>103983</v>
      </c>
      <c r="B159">
        <v>2200</v>
      </c>
      <c r="C159" t="s">
        <v>597</v>
      </c>
      <c r="D159" t="s">
        <v>598</v>
      </c>
      <c r="E159" t="s">
        <v>757</v>
      </c>
    </row>
    <row r="160" spans="1:7" x14ac:dyDescent="0.35">
      <c r="A160">
        <v>101832</v>
      </c>
      <c r="B160">
        <v>2011</v>
      </c>
      <c r="C160" t="s">
        <v>597</v>
      </c>
      <c r="D160" t="s">
        <v>598</v>
      </c>
      <c r="E160" t="s">
        <v>758</v>
      </c>
    </row>
    <row r="161" spans="1:7" x14ac:dyDescent="0.35">
      <c r="A161">
        <v>101197</v>
      </c>
      <c r="B161">
        <v>1939</v>
      </c>
      <c r="C161" t="s">
        <v>597</v>
      </c>
      <c r="D161" t="s">
        <v>598</v>
      </c>
      <c r="E161" t="s">
        <v>759</v>
      </c>
      <c r="G161">
        <v>1968</v>
      </c>
    </row>
    <row r="162" spans="1:7" x14ac:dyDescent="0.35">
      <c r="A162">
        <v>102772</v>
      </c>
      <c r="B162">
        <v>2116</v>
      </c>
      <c r="C162" t="s">
        <v>597</v>
      </c>
      <c r="D162" t="s">
        <v>598</v>
      </c>
      <c r="E162" t="s">
        <v>760</v>
      </c>
      <c r="G162">
        <v>1710</v>
      </c>
    </row>
    <row r="163" spans="1:7" x14ac:dyDescent="0.35">
      <c r="A163">
        <v>103975</v>
      </c>
      <c r="B163">
        <v>2199</v>
      </c>
      <c r="C163" t="s">
        <v>597</v>
      </c>
      <c r="D163" t="s">
        <v>598</v>
      </c>
      <c r="E163" t="s">
        <v>761</v>
      </c>
    </row>
    <row r="164" spans="1:7" x14ac:dyDescent="0.35">
      <c r="A164">
        <v>101303</v>
      </c>
      <c r="B164">
        <v>1968</v>
      </c>
      <c r="C164" t="s">
        <v>597</v>
      </c>
      <c r="D164" t="s">
        <v>598</v>
      </c>
      <c r="E164" t="s">
        <v>762</v>
      </c>
      <c r="F164">
        <v>1507</v>
      </c>
      <c r="G164">
        <v>219820</v>
      </c>
    </row>
    <row r="165" spans="1:7" x14ac:dyDescent="0.35">
      <c r="A165">
        <v>102366</v>
      </c>
      <c r="B165">
        <v>2075</v>
      </c>
      <c r="C165" t="s">
        <v>597</v>
      </c>
      <c r="D165" t="s">
        <v>598</v>
      </c>
      <c r="E165" t="s">
        <v>763</v>
      </c>
    </row>
    <row r="166" spans="1:7" x14ac:dyDescent="0.35">
      <c r="A166">
        <v>102042</v>
      </c>
      <c r="B166">
        <v>2049</v>
      </c>
      <c r="C166" t="s">
        <v>597</v>
      </c>
      <c r="D166" t="s">
        <v>598</v>
      </c>
      <c r="E166" t="s">
        <v>764</v>
      </c>
      <c r="G166">
        <v>900</v>
      </c>
    </row>
    <row r="167" spans="1:7" x14ac:dyDescent="0.35">
      <c r="A167">
        <v>102811</v>
      </c>
      <c r="B167">
        <v>2122</v>
      </c>
      <c r="C167" t="s">
        <v>597</v>
      </c>
      <c r="D167" t="s">
        <v>598</v>
      </c>
      <c r="E167" t="s">
        <v>765</v>
      </c>
      <c r="G167">
        <v>221726</v>
      </c>
    </row>
    <row r="168" spans="1:7" x14ac:dyDescent="0.35">
      <c r="A168">
        <v>104135</v>
      </c>
      <c r="B168">
        <v>2216</v>
      </c>
      <c r="C168" t="s">
        <v>597</v>
      </c>
      <c r="D168" t="s">
        <v>598</v>
      </c>
      <c r="E168" t="s">
        <v>766</v>
      </c>
    </row>
    <row r="169" spans="1:7" x14ac:dyDescent="0.35">
      <c r="A169">
        <v>104288</v>
      </c>
      <c r="B169">
        <v>2637</v>
      </c>
      <c r="C169" t="s">
        <v>602</v>
      </c>
      <c r="D169" t="s">
        <v>603</v>
      </c>
      <c r="E169" t="s">
        <v>767</v>
      </c>
      <c r="G169">
        <v>227685</v>
      </c>
    </row>
    <row r="170" spans="1:7" x14ac:dyDescent="0.35">
      <c r="A170">
        <v>101196</v>
      </c>
      <c r="B170">
        <v>1938</v>
      </c>
      <c r="C170" t="s">
        <v>597</v>
      </c>
      <c r="D170" t="s">
        <v>598</v>
      </c>
      <c r="E170" t="s">
        <v>768</v>
      </c>
    </row>
    <row r="171" spans="1:7" x14ac:dyDescent="0.35">
      <c r="A171">
        <v>103790</v>
      </c>
      <c r="B171">
        <v>2191</v>
      </c>
      <c r="C171" t="s">
        <v>597</v>
      </c>
      <c r="D171" t="s">
        <v>598</v>
      </c>
      <c r="E171" t="s">
        <v>769</v>
      </c>
    </row>
    <row r="172" spans="1:7" x14ac:dyDescent="0.35">
      <c r="A172">
        <v>104233</v>
      </c>
      <c r="B172">
        <v>2229</v>
      </c>
      <c r="C172" t="s">
        <v>597</v>
      </c>
      <c r="D172" t="s">
        <v>598</v>
      </c>
      <c r="E172" t="s">
        <v>770</v>
      </c>
    </row>
    <row r="173" spans="1:7" x14ac:dyDescent="0.35">
      <c r="A173">
        <v>103602</v>
      </c>
      <c r="B173">
        <v>2177</v>
      </c>
      <c r="C173" t="s">
        <v>597</v>
      </c>
      <c r="D173" t="s">
        <v>598</v>
      </c>
      <c r="E173" t="s">
        <v>771</v>
      </c>
      <c r="G173">
        <v>223013</v>
      </c>
    </row>
    <row r="174" spans="1:7" x14ac:dyDescent="0.35">
      <c r="A174">
        <v>104177</v>
      </c>
      <c r="B174">
        <v>2223</v>
      </c>
      <c r="C174" t="s">
        <v>597</v>
      </c>
      <c r="D174" t="s">
        <v>598</v>
      </c>
      <c r="E174" t="s">
        <v>772</v>
      </c>
    </row>
    <row r="175" spans="1:7" x14ac:dyDescent="0.35">
      <c r="A175">
        <v>103792</v>
      </c>
      <c r="B175">
        <v>2193</v>
      </c>
      <c r="C175" t="s">
        <v>597</v>
      </c>
      <c r="D175" t="s">
        <v>598</v>
      </c>
      <c r="E175" t="s">
        <v>773</v>
      </c>
      <c r="G175">
        <v>217813</v>
      </c>
    </row>
    <row r="176" spans="1:7" x14ac:dyDescent="0.35">
      <c r="A176">
        <v>101887</v>
      </c>
      <c r="B176">
        <v>2019</v>
      </c>
      <c r="C176" t="s">
        <v>597</v>
      </c>
      <c r="D176" t="s">
        <v>598</v>
      </c>
      <c r="E176" t="s">
        <v>774</v>
      </c>
      <c r="G176">
        <v>825</v>
      </c>
    </row>
    <row r="177" spans="1:7" x14ac:dyDescent="0.35">
      <c r="A177">
        <v>101816</v>
      </c>
      <c r="B177">
        <v>2004</v>
      </c>
      <c r="C177" t="s">
        <v>597</v>
      </c>
      <c r="D177" t="s">
        <v>598</v>
      </c>
      <c r="E177" t="s">
        <v>775</v>
      </c>
    </row>
    <row r="178" spans="1:7" x14ac:dyDescent="0.35">
      <c r="A178">
        <v>102267</v>
      </c>
      <c r="B178">
        <v>2064</v>
      </c>
      <c r="C178" t="s">
        <v>597</v>
      </c>
      <c r="D178" t="s">
        <v>598</v>
      </c>
      <c r="E178" t="s">
        <v>776</v>
      </c>
    </row>
    <row r="179" spans="1:7" x14ac:dyDescent="0.35">
      <c r="A179">
        <v>103131</v>
      </c>
      <c r="B179">
        <v>2148</v>
      </c>
      <c r="C179" t="s">
        <v>597</v>
      </c>
      <c r="D179" t="s">
        <v>598</v>
      </c>
      <c r="E179" t="s">
        <v>777</v>
      </c>
    </row>
    <row r="180" spans="1:7" x14ac:dyDescent="0.35">
      <c r="A180">
        <v>102710</v>
      </c>
      <c r="B180">
        <v>2108</v>
      </c>
      <c r="C180" t="s">
        <v>597</v>
      </c>
      <c r="D180" t="s">
        <v>598</v>
      </c>
      <c r="E180" t="s">
        <v>778</v>
      </c>
      <c r="G180">
        <v>220896</v>
      </c>
    </row>
    <row r="181" spans="1:7" x14ac:dyDescent="0.35">
      <c r="A181">
        <v>101927</v>
      </c>
      <c r="B181">
        <v>2322</v>
      </c>
      <c r="C181" t="s">
        <v>602</v>
      </c>
      <c r="D181" t="s">
        <v>603</v>
      </c>
      <c r="E181" t="s">
        <v>779</v>
      </c>
      <c r="G181">
        <v>1141</v>
      </c>
    </row>
    <row r="182" spans="1:7" x14ac:dyDescent="0.35">
      <c r="A182">
        <v>102685</v>
      </c>
      <c r="B182">
        <v>2105</v>
      </c>
      <c r="C182" t="s">
        <v>597</v>
      </c>
      <c r="D182" t="s">
        <v>598</v>
      </c>
      <c r="E182" t="s">
        <v>780</v>
      </c>
    </row>
    <row r="183" spans="1:7" x14ac:dyDescent="0.35">
      <c r="A183">
        <v>101246</v>
      </c>
      <c r="B183">
        <v>1953</v>
      </c>
      <c r="C183" t="s">
        <v>597</v>
      </c>
      <c r="D183" t="s">
        <v>598</v>
      </c>
      <c r="E183" t="s">
        <v>781</v>
      </c>
    </row>
    <row r="184" spans="1:7" x14ac:dyDescent="0.35">
      <c r="A184">
        <v>102745</v>
      </c>
      <c r="B184">
        <v>2111</v>
      </c>
      <c r="C184" t="s">
        <v>597</v>
      </c>
      <c r="D184" t="s">
        <v>598</v>
      </c>
      <c r="E184" t="s">
        <v>782</v>
      </c>
    </row>
    <row r="185" spans="1:7" x14ac:dyDescent="0.35">
      <c r="A185">
        <v>102987</v>
      </c>
      <c r="B185">
        <v>2134</v>
      </c>
      <c r="C185" t="s">
        <v>597</v>
      </c>
      <c r="D185" t="s">
        <v>598</v>
      </c>
      <c r="E185" t="s">
        <v>783</v>
      </c>
      <c r="G185">
        <v>221864</v>
      </c>
    </row>
    <row r="186" spans="1:7" x14ac:dyDescent="0.35">
      <c r="A186">
        <v>102225</v>
      </c>
      <c r="B186">
        <v>2058</v>
      </c>
      <c r="C186" t="s">
        <v>597</v>
      </c>
      <c r="D186" t="s">
        <v>598</v>
      </c>
      <c r="E186" t="s">
        <v>784</v>
      </c>
    </row>
    <row r="187" spans="1:7" x14ac:dyDescent="0.35">
      <c r="A187">
        <v>102184</v>
      </c>
      <c r="B187">
        <v>2054</v>
      </c>
      <c r="C187" t="s">
        <v>597</v>
      </c>
      <c r="D187" t="s">
        <v>598</v>
      </c>
      <c r="E187" t="s">
        <v>785</v>
      </c>
      <c r="G187">
        <v>220524</v>
      </c>
    </row>
    <row r="188" spans="1:7" x14ac:dyDescent="0.35">
      <c r="A188">
        <v>101271</v>
      </c>
      <c r="B188">
        <v>1957</v>
      </c>
      <c r="C188" t="s">
        <v>597</v>
      </c>
      <c r="D188" t="s">
        <v>598</v>
      </c>
      <c r="E188" t="s">
        <v>786</v>
      </c>
    </row>
    <row r="189" spans="1:7" x14ac:dyDescent="0.35">
      <c r="A189">
        <v>102438</v>
      </c>
      <c r="B189">
        <v>2087</v>
      </c>
      <c r="C189" t="s">
        <v>597</v>
      </c>
      <c r="D189" t="s">
        <v>598</v>
      </c>
      <c r="E189" t="s">
        <v>787</v>
      </c>
      <c r="G189">
        <v>220894</v>
      </c>
    </row>
    <row r="190" spans="1:7" x14ac:dyDescent="0.35">
      <c r="A190">
        <v>103201</v>
      </c>
      <c r="B190">
        <v>2154</v>
      </c>
      <c r="C190" t="s">
        <v>597</v>
      </c>
      <c r="D190" t="s">
        <v>598</v>
      </c>
      <c r="E190" t="s">
        <v>788</v>
      </c>
    </row>
    <row r="191" spans="1:7" x14ac:dyDescent="0.35">
      <c r="A191">
        <v>104319</v>
      </c>
      <c r="B191">
        <v>2643</v>
      </c>
      <c r="C191" t="s">
        <v>602</v>
      </c>
      <c r="D191" t="s">
        <v>603</v>
      </c>
      <c r="E191" t="s">
        <v>789</v>
      </c>
      <c r="G191">
        <v>228175</v>
      </c>
    </row>
    <row r="192" spans="1:7" x14ac:dyDescent="0.35">
      <c r="A192">
        <v>101602</v>
      </c>
      <c r="B192">
        <v>1972</v>
      </c>
      <c r="C192" t="s">
        <v>597</v>
      </c>
      <c r="D192" t="s">
        <v>598</v>
      </c>
      <c r="E192" t="s">
        <v>790</v>
      </c>
    </row>
    <row r="193" spans="1:7" x14ac:dyDescent="0.35">
      <c r="A193">
        <v>101007</v>
      </c>
      <c r="B193">
        <v>1896</v>
      </c>
      <c r="C193" t="s">
        <v>597</v>
      </c>
      <c r="D193" t="s">
        <v>598</v>
      </c>
      <c r="E193" t="s">
        <v>791</v>
      </c>
    </row>
    <row r="194" spans="1:7" x14ac:dyDescent="0.35">
      <c r="A194">
        <v>101881</v>
      </c>
      <c r="B194">
        <v>2017</v>
      </c>
      <c r="C194" t="s">
        <v>597</v>
      </c>
      <c r="D194" t="s">
        <v>598</v>
      </c>
      <c r="E194" t="s">
        <v>792</v>
      </c>
      <c r="G194">
        <v>2993</v>
      </c>
    </row>
    <row r="195" spans="1:7" x14ac:dyDescent="0.35">
      <c r="A195">
        <v>101663</v>
      </c>
      <c r="B195">
        <v>1985</v>
      </c>
      <c r="C195" t="s">
        <v>597</v>
      </c>
      <c r="D195" t="s">
        <v>598</v>
      </c>
      <c r="E195" t="s">
        <v>793</v>
      </c>
      <c r="G195">
        <v>217883</v>
      </c>
    </row>
    <row r="196" spans="1:7" x14ac:dyDescent="0.35">
      <c r="A196">
        <v>103513</v>
      </c>
      <c r="B196">
        <v>2171</v>
      </c>
      <c r="C196" t="s">
        <v>597</v>
      </c>
      <c r="D196" t="s">
        <v>598</v>
      </c>
      <c r="E196" t="s">
        <v>794</v>
      </c>
      <c r="G196">
        <v>222866</v>
      </c>
    </row>
    <row r="197" spans="1:7" x14ac:dyDescent="0.35">
      <c r="A197">
        <v>101285</v>
      </c>
      <c r="B197">
        <v>1963</v>
      </c>
      <c r="C197" t="s">
        <v>597</v>
      </c>
      <c r="D197" t="s">
        <v>598</v>
      </c>
      <c r="E197" t="s">
        <v>795</v>
      </c>
    </row>
    <row r="198" spans="1:7" x14ac:dyDescent="0.35">
      <c r="A198">
        <v>101118</v>
      </c>
      <c r="B198">
        <v>1912</v>
      </c>
      <c r="C198" t="s">
        <v>597</v>
      </c>
      <c r="D198" t="s">
        <v>598</v>
      </c>
      <c r="E198" t="s">
        <v>796</v>
      </c>
      <c r="G198">
        <v>15061</v>
      </c>
    </row>
    <row r="199" spans="1:7" x14ac:dyDescent="0.35">
      <c r="A199">
        <v>101822</v>
      </c>
      <c r="B199">
        <v>2007</v>
      </c>
      <c r="C199" t="s">
        <v>597</v>
      </c>
      <c r="D199" t="s">
        <v>598</v>
      </c>
      <c r="E199" t="s">
        <v>797</v>
      </c>
    </row>
    <row r="200" spans="1:7" x14ac:dyDescent="0.35">
      <c r="A200">
        <v>102979</v>
      </c>
      <c r="B200">
        <v>2127</v>
      </c>
      <c r="C200" t="s">
        <v>597</v>
      </c>
      <c r="D200" t="s">
        <v>598</v>
      </c>
      <c r="E200" t="s">
        <v>798</v>
      </c>
    </row>
    <row r="201" spans="1:7" x14ac:dyDescent="0.35">
      <c r="A201">
        <v>102831</v>
      </c>
      <c r="B201">
        <v>2125</v>
      </c>
      <c r="C201" t="s">
        <v>597</v>
      </c>
      <c r="D201" t="s">
        <v>598</v>
      </c>
      <c r="E201" t="s">
        <v>799</v>
      </c>
      <c r="G201">
        <v>221756</v>
      </c>
    </row>
    <row r="202" spans="1:7" x14ac:dyDescent="0.35">
      <c r="A202">
        <v>103189</v>
      </c>
      <c r="B202">
        <v>2152</v>
      </c>
      <c r="C202" t="s">
        <v>597</v>
      </c>
      <c r="D202" t="s">
        <v>598</v>
      </c>
      <c r="E202" t="s">
        <v>800</v>
      </c>
    </row>
    <row r="203" spans="1:7" x14ac:dyDescent="0.35">
      <c r="A203">
        <v>102229</v>
      </c>
      <c r="B203">
        <v>2061</v>
      </c>
      <c r="C203" t="s">
        <v>597</v>
      </c>
      <c r="D203" t="s">
        <v>598</v>
      </c>
      <c r="E203" t="s">
        <v>801</v>
      </c>
      <c r="G203">
        <v>217802</v>
      </c>
    </row>
    <row r="204" spans="1:7" x14ac:dyDescent="0.35">
      <c r="A204">
        <v>101085</v>
      </c>
      <c r="B204">
        <v>1903</v>
      </c>
      <c r="C204" t="s">
        <v>597</v>
      </c>
      <c r="D204" t="s">
        <v>598</v>
      </c>
      <c r="E204" t="s">
        <v>802</v>
      </c>
    </row>
    <row r="205" spans="1:7" x14ac:dyDescent="0.35">
      <c r="A205">
        <v>103703</v>
      </c>
      <c r="B205">
        <v>2181</v>
      </c>
      <c r="C205" t="s">
        <v>597</v>
      </c>
      <c r="D205" t="s">
        <v>598</v>
      </c>
      <c r="E205" t="s">
        <v>803</v>
      </c>
      <c r="G205">
        <v>22161</v>
      </c>
    </row>
    <row r="206" spans="1:7" x14ac:dyDescent="0.35">
      <c r="A206">
        <v>103112</v>
      </c>
      <c r="B206">
        <v>2145</v>
      </c>
      <c r="C206" t="s">
        <v>597</v>
      </c>
      <c r="D206" t="s">
        <v>598</v>
      </c>
      <c r="E206" t="s">
        <v>804</v>
      </c>
      <c r="G206">
        <v>222065</v>
      </c>
    </row>
    <row r="207" spans="1:7" x14ac:dyDescent="0.35">
      <c r="A207">
        <v>102008</v>
      </c>
      <c r="B207">
        <v>2047</v>
      </c>
      <c r="C207" t="s">
        <v>597</v>
      </c>
      <c r="D207" t="s">
        <v>598</v>
      </c>
      <c r="E207" t="s">
        <v>805</v>
      </c>
      <c r="G207">
        <v>220457</v>
      </c>
    </row>
    <row r="208" spans="1:7" x14ac:dyDescent="0.35">
      <c r="A208">
        <v>101923</v>
      </c>
      <c r="B208">
        <v>2025</v>
      </c>
      <c r="C208" t="s">
        <v>597</v>
      </c>
      <c r="D208" t="s">
        <v>598</v>
      </c>
      <c r="E208" t="s">
        <v>806</v>
      </c>
      <c r="G208">
        <v>217768</v>
      </c>
    </row>
    <row r="209" spans="1:7" x14ac:dyDescent="0.35">
      <c r="A209">
        <v>103502</v>
      </c>
      <c r="B209">
        <v>2169</v>
      </c>
      <c r="C209" t="s">
        <v>597</v>
      </c>
      <c r="D209" t="s">
        <v>598</v>
      </c>
      <c r="E209" t="s">
        <v>807</v>
      </c>
    </row>
    <row r="210" spans="1:7" x14ac:dyDescent="0.35">
      <c r="A210">
        <v>101892</v>
      </c>
      <c r="B210">
        <v>2020</v>
      </c>
      <c r="C210" t="s">
        <v>597</v>
      </c>
      <c r="D210" t="s">
        <v>598</v>
      </c>
      <c r="E210" t="s">
        <v>808</v>
      </c>
    </row>
    <row r="211" spans="1:7" x14ac:dyDescent="0.35">
      <c r="A211">
        <v>102154</v>
      </c>
      <c r="B211">
        <v>2050</v>
      </c>
      <c r="C211" t="s">
        <v>597</v>
      </c>
      <c r="D211" t="s">
        <v>598</v>
      </c>
      <c r="E211" t="s">
        <v>809</v>
      </c>
    </row>
    <row r="212" spans="1:7" x14ac:dyDescent="0.35">
      <c r="A212">
        <v>101270</v>
      </c>
      <c r="B212">
        <v>1956</v>
      </c>
      <c r="C212" t="s">
        <v>597</v>
      </c>
      <c r="D212" t="s">
        <v>598</v>
      </c>
      <c r="E212" t="s">
        <v>810</v>
      </c>
    </row>
    <row r="213" spans="1:7" x14ac:dyDescent="0.35">
      <c r="A213">
        <v>102393</v>
      </c>
      <c r="B213">
        <v>2079</v>
      </c>
      <c r="C213" t="s">
        <v>597</v>
      </c>
      <c r="D213" t="s">
        <v>598</v>
      </c>
      <c r="E213" t="s">
        <v>811</v>
      </c>
    </row>
    <row r="214" spans="1:7" x14ac:dyDescent="0.35">
      <c r="A214">
        <v>101799</v>
      </c>
      <c r="B214">
        <v>2001</v>
      </c>
      <c r="C214" t="s">
        <v>597</v>
      </c>
      <c r="D214" t="s">
        <v>598</v>
      </c>
      <c r="E214" t="s">
        <v>812</v>
      </c>
      <c r="G214">
        <v>220079</v>
      </c>
    </row>
    <row r="215" spans="1:7" x14ac:dyDescent="0.35">
      <c r="A215">
        <v>103995</v>
      </c>
      <c r="B215">
        <v>2204</v>
      </c>
      <c r="C215" t="s">
        <v>597</v>
      </c>
      <c r="D215" t="s">
        <v>598</v>
      </c>
      <c r="E215" t="s">
        <v>813</v>
      </c>
    </row>
    <row r="216" spans="1:7" x14ac:dyDescent="0.35">
      <c r="A216">
        <v>101307</v>
      </c>
      <c r="B216">
        <v>1970</v>
      </c>
      <c r="C216" t="s">
        <v>597</v>
      </c>
      <c r="D216" t="s">
        <v>598</v>
      </c>
      <c r="E216" t="s">
        <v>814</v>
      </c>
      <c r="G216">
        <v>219847</v>
      </c>
    </row>
    <row r="217" spans="1:7" x14ac:dyDescent="0.35">
      <c r="A217">
        <v>103049</v>
      </c>
      <c r="B217">
        <v>2142</v>
      </c>
      <c r="C217" t="s">
        <v>597</v>
      </c>
      <c r="D217" t="s">
        <v>598</v>
      </c>
      <c r="E217" t="s">
        <v>815</v>
      </c>
      <c r="G217">
        <v>221966</v>
      </c>
    </row>
    <row r="218" spans="1:7" x14ac:dyDescent="0.35">
      <c r="A218">
        <v>102744</v>
      </c>
      <c r="B218">
        <v>2456</v>
      </c>
      <c r="C218" t="s">
        <v>602</v>
      </c>
      <c r="D218" t="s">
        <v>603</v>
      </c>
      <c r="E218" t="s">
        <v>816</v>
      </c>
    </row>
    <row r="219" spans="1:7" x14ac:dyDescent="0.35">
      <c r="A219">
        <v>104182</v>
      </c>
      <c r="B219">
        <v>2224</v>
      </c>
      <c r="C219" t="s">
        <v>597</v>
      </c>
      <c r="D219" t="s">
        <v>598</v>
      </c>
      <c r="E219" t="s">
        <v>817</v>
      </c>
      <c r="G219">
        <v>219461</v>
      </c>
    </row>
    <row r="220" spans="1:7" x14ac:dyDescent="0.35">
      <c r="A220">
        <v>101705</v>
      </c>
      <c r="B220">
        <v>1988</v>
      </c>
      <c r="C220" t="s">
        <v>597</v>
      </c>
      <c r="D220" t="s">
        <v>598</v>
      </c>
      <c r="E220" t="s">
        <v>818</v>
      </c>
      <c r="G220">
        <v>220025</v>
      </c>
    </row>
    <row r="221" spans="1:7" x14ac:dyDescent="0.35">
      <c r="A221">
        <v>102428</v>
      </c>
      <c r="B221">
        <v>2085</v>
      </c>
      <c r="C221" t="s">
        <v>597</v>
      </c>
      <c r="D221" t="s">
        <v>598</v>
      </c>
      <c r="E221" t="s">
        <v>819</v>
      </c>
    </row>
    <row r="222" spans="1:7" x14ac:dyDescent="0.35">
      <c r="A222">
        <v>101665</v>
      </c>
      <c r="B222">
        <v>1986</v>
      </c>
      <c r="C222" t="s">
        <v>597</v>
      </c>
      <c r="D222" t="s">
        <v>598</v>
      </c>
      <c r="E222" t="s">
        <v>820</v>
      </c>
    </row>
    <row r="223" spans="1:7" x14ac:dyDescent="0.35">
      <c r="A223">
        <v>101952</v>
      </c>
      <c r="B223">
        <v>2031</v>
      </c>
      <c r="C223" t="s">
        <v>597</v>
      </c>
      <c r="D223" t="s">
        <v>598</v>
      </c>
      <c r="E223" t="s">
        <v>821</v>
      </c>
    </row>
    <row r="224" spans="1:7" x14ac:dyDescent="0.35">
      <c r="A224">
        <v>101613</v>
      </c>
      <c r="B224">
        <v>1974</v>
      </c>
      <c r="C224" t="s">
        <v>597</v>
      </c>
      <c r="D224" t="s">
        <v>598</v>
      </c>
      <c r="E224" t="s">
        <v>822</v>
      </c>
    </row>
    <row r="225" spans="1:7" x14ac:dyDescent="0.35">
      <c r="A225">
        <v>101872</v>
      </c>
      <c r="B225">
        <v>2309</v>
      </c>
      <c r="C225" t="s">
        <v>602</v>
      </c>
      <c r="D225" t="s">
        <v>603</v>
      </c>
      <c r="E225" t="s">
        <v>823</v>
      </c>
    </row>
    <row r="226" spans="1:7" x14ac:dyDescent="0.35">
      <c r="A226">
        <v>101132</v>
      </c>
      <c r="B226">
        <v>1918</v>
      </c>
      <c r="C226" t="s">
        <v>597</v>
      </c>
      <c r="D226" t="s">
        <v>598</v>
      </c>
      <c r="E226" t="s">
        <v>824</v>
      </c>
      <c r="G226">
        <v>219205</v>
      </c>
    </row>
    <row r="227" spans="1:7" x14ac:dyDescent="0.35">
      <c r="A227">
        <v>101272</v>
      </c>
      <c r="B227">
        <v>1958</v>
      </c>
      <c r="C227" t="s">
        <v>597</v>
      </c>
      <c r="D227" t="s">
        <v>598</v>
      </c>
      <c r="E227" t="s">
        <v>825</v>
      </c>
      <c r="G227">
        <v>217895</v>
      </c>
    </row>
    <row r="228" spans="1:7" x14ac:dyDescent="0.35">
      <c r="A228">
        <v>102763</v>
      </c>
      <c r="B228">
        <v>2114</v>
      </c>
      <c r="C228" t="s">
        <v>597</v>
      </c>
      <c r="D228" t="s">
        <v>598</v>
      </c>
      <c r="E228" t="s">
        <v>826</v>
      </c>
    </row>
    <row r="229" spans="1:7" x14ac:dyDescent="0.35">
      <c r="A229">
        <v>101239</v>
      </c>
      <c r="B229">
        <v>1950</v>
      </c>
      <c r="C229" t="s">
        <v>597</v>
      </c>
      <c r="D229" t="s">
        <v>598</v>
      </c>
      <c r="E229" t="s">
        <v>827</v>
      </c>
    </row>
    <row r="230" spans="1:7" x14ac:dyDescent="0.35">
      <c r="A230">
        <v>103764</v>
      </c>
      <c r="B230">
        <v>2186</v>
      </c>
      <c r="C230" t="s">
        <v>597</v>
      </c>
      <c r="D230" t="s">
        <v>598</v>
      </c>
      <c r="E230" t="s">
        <v>828</v>
      </c>
    </row>
    <row r="231" spans="1:7" x14ac:dyDescent="0.35">
      <c r="A231">
        <v>101107</v>
      </c>
      <c r="B231">
        <v>1910</v>
      </c>
      <c r="C231" t="s">
        <v>597</v>
      </c>
      <c r="D231" t="s">
        <v>598</v>
      </c>
      <c r="E231" t="s">
        <v>829</v>
      </c>
    </row>
    <row r="232" spans="1:7" x14ac:dyDescent="0.35">
      <c r="A232">
        <v>101181</v>
      </c>
      <c r="B232">
        <v>1932</v>
      </c>
      <c r="C232" t="s">
        <v>597</v>
      </c>
      <c r="D232" t="s">
        <v>598</v>
      </c>
      <c r="E232" t="s">
        <v>830</v>
      </c>
    </row>
    <row r="233" spans="1:7" x14ac:dyDescent="0.35">
      <c r="A233">
        <v>101189</v>
      </c>
      <c r="B233">
        <v>1935</v>
      </c>
      <c r="C233" t="s">
        <v>597</v>
      </c>
      <c r="D233" t="s">
        <v>598</v>
      </c>
      <c r="E233" t="s">
        <v>831</v>
      </c>
    </row>
    <row r="234" spans="1:7" x14ac:dyDescent="0.35">
      <c r="A234">
        <v>101290</v>
      </c>
      <c r="B234">
        <v>1964</v>
      </c>
      <c r="C234" t="s">
        <v>597</v>
      </c>
      <c r="D234" t="s">
        <v>598</v>
      </c>
      <c r="E234" t="s">
        <v>832</v>
      </c>
    </row>
    <row r="235" spans="1:7" x14ac:dyDescent="0.35">
      <c r="A235">
        <v>102988</v>
      </c>
      <c r="B235">
        <v>2135</v>
      </c>
      <c r="C235" t="s">
        <v>597</v>
      </c>
      <c r="D235" t="s">
        <v>598</v>
      </c>
      <c r="E235" t="s">
        <v>833</v>
      </c>
      <c r="G235">
        <v>221925</v>
      </c>
    </row>
    <row r="236" spans="1:7" x14ac:dyDescent="0.35">
      <c r="A236">
        <v>101972</v>
      </c>
      <c r="B236">
        <v>2033</v>
      </c>
      <c r="C236" t="s">
        <v>597</v>
      </c>
      <c r="D236" t="s">
        <v>598</v>
      </c>
      <c r="E236" t="s">
        <v>834</v>
      </c>
    </row>
    <row r="237" spans="1:7" x14ac:dyDescent="0.35">
      <c r="A237">
        <v>101627</v>
      </c>
      <c r="B237">
        <v>1979</v>
      </c>
      <c r="C237" t="s">
        <v>597</v>
      </c>
      <c r="D237" t="s">
        <v>598</v>
      </c>
      <c r="E237" t="s">
        <v>835</v>
      </c>
      <c r="G237">
        <v>219935</v>
      </c>
    </row>
    <row r="238" spans="1:7" x14ac:dyDescent="0.35">
      <c r="A238">
        <v>101312</v>
      </c>
      <c r="B238">
        <v>1971</v>
      </c>
      <c r="C238" t="s">
        <v>597</v>
      </c>
      <c r="D238" t="s">
        <v>598</v>
      </c>
      <c r="E238" t="s">
        <v>836</v>
      </c>
    </row>
    <row r="239" spans="1:7" x14ac:dyDescent="0.35">
      <c r="A239">
        <v>102442</v>
      </c>
      <c r="B239">
        <v>2089</v>
      </c>
      <c r="C239" t="s">
        <v>597</v>
      </c>
      <c r="D239" t="s">
        <v>598</v>
      </c>
      <c r="E239" t="s">
        <v>837</v>
      </c>
      <c r="G239">
        <v>217853</v>
      </c>
    </row>
    <row r="240" spans="1:7" x14ac:dyDescent="0.35">
      <c r="A240">
        <v>101119</v>
      </c>
      <c r="B240">
        <v>1913</v>
      </c>
      <c r="C240" t="s">
        <v>597</v>
      </c>
      <c r="D240" t="s">
        <v>598</v>
      </c>
      <c r="E240" t="s">
        <v>838</v>
      </c>
    </row>
    <row r="241" spans="1:7" x14ac:dyDescent="0.35">
      <c r="A241">
        <v>101079</v>
      </c>
      <c r="B241">
        <v>1900</v>
      </c>
      <c r="C241" t="s">
        <v>597</v>
      </c>
      <c r="D241" t="s">
        <v>598</v>
      </c>
      <c r="E241" t="s">
        <v>839</v>
      </c>
    </row>
    <row r="242" spans="1:7" x14ac:dyDescent="0.35">
      <c r="A242">
        <v>101979</v>
      </c>
      <c r="B242">
        <v>2038</v>
      </c>
      <c r="C242" t="s">
        <v>597</v>
      </c>
      <c r="D242" t="s">
        <v>598</v>
      </c>
      <c r="E242" t="s">
        <v>840</v>
      </c>
      <c r="F242">
        <v>1702</v>
      </c>
      <c r="G242">
        <v>3197</v>
      </c>
    </row>
    <row r="243" spans="1:7" x14ac:dyDescent="0.35">
      <c r="A243">
        <v>101280</v>
      </c>
      <c r="B243">
        <v>1960</v>
      </c>
      <c r="C243" t="s">
        <v>597</v>
      </c>
      <c r="D243" t="s">
        <v>598</v>
      </c>
      <c r="E243" t="s">
        <v>841</v>
      </c>
    </row>
    <row r="244" spans="1:7" x14ac:dyDescent="0.35">
      <c r="A244">
        <v>102040</v>
      </c>
      <c r="B244">
        <v>2048</v>
      </c>
      <c r="C244" t="s">
        <v>597</v>
      </c>
      <c r="D244" t="s">
        <v>598</v>
      </c>
      <c r="E244" t="s">
        <v>842</v>
      </c>
      <c r="G244">
        <v>22503</v>
      </c>
    </row>
    <row r="245" spans="1:7" x14ac:dyDescent="0.35">
      <c r="A245">
        <v>102982</v>
      </c>
      <c r="B245">
        <v>2129</v>
      </c>
      <c r="C245" t="s">
        <v>597</v>
      </c>
      <c r="D245" t="s">
        <v>598</v>
      </c>
      <c r="E245" t="s">
        <v>843</v>
      </c>
      <c r="G245">
        <v>221860</v>
      </c>
    </row>
    <row r="246" spans="1:7" x14ac:dyDescent="0.35">
      <c r="A246">
        <v>102933</v>
      </c>
      <c r="B246">
        <v>2475</v>
      </c>
      <c r="C246" t="s">
        <v>602</v>
      </c>
      <c r="D246" t="s">
        <v>603</v>
      </c>
      <c r="E246" t="s">
        <v>844</v>
      </c>
    </row>
    <row r="247" spans="1:7" x14ac:dyDescent="0.35">
      <c r="A247">
        <v>101677</v>
      </c>
      <c r="B247">
        <v>1987</v>
      </c>
      <c r="C247" t="s">
        <v>597</v>
      </c>
      <c r="D247" t="s">
        <v>598</v>
      </c>
      <c r="E247" t="s">
        <v>845</v>
      </c>
      <c r="G247">
        <v>220007</v>
      </c>
    </row>
    <row r="248" spans="1:7" x14ac:dyDescent="0.35">
      <c r="A248">
        <v>103540</v>
      </c>
      <c r="B248">
        <v>2175</v>
      </c>
      <c r="C248" t="s">
        <v>597</v>
      </c>
      <c r="D248" t="s">
        <v>598</v>
      </c>
      <c r="E248" t="s">
        <v>846</v>
      </c>
      <c r="G248">
        <v>222927</v>
      </c>
    </row>
    <row r="249" spans="1:7" x14ac:dyDescent="0.35">
      <c r="A249">
        <v>102394</v>
      </c>
      <c r="B249">
        <v>2080</v>
      </c>
      <c r="C249" t="s">
        <v>597</v>
      </c>
      <c r="D249" t="s">
        <v>598</v>
      </c>
      <c r="E249" t="s">
        <v>847</v>
      </c>
    </row>
    <row r="250" spans="1:7" x14ac:dyDescent="0.35">
      <c r="A250">
        <v>101211</v>
      </c>
      <c r="B250">
        <v>1945</v>
      </c>
      <c r="C250" t="s">
        <v>597</v>
      </c>
      <c r="D250" t="s">
        <v>598</v>
      </c>
      <c r="E250" t="s">
        <v>848</v>
      </c>
      <c r="G250">
        <v>219868</v>
      </c>
    </row>
    <row r="251" spans="1:7" x14ac:dyDescent="0.35">
      <c r="A251">
        <v>101637</v>
      </c>
      <c r="B251">
        <v>1982</v>
      </c>
      <c r="C251" t="s">
        <v>597</v>
      </c>
      <c r="D251" t="s">
        <v>598</v>
      </c>
      <c r="E251" t="s">
        <v>849</v>
      </c>
    </row>
    <row r="252" spans="1:7" x14ac:dyDescent="0.35">
      <c r="A252">
        <v>104150</v>
      </c>
      <c r="B252">
        <v>2219</v>
      </c>
      <c r="C252" t="s">
        <v>597</v>
      </c>
      <c r="D252" t="s">
        <v>598</v>
      </c>
      <c r="E252" t="s">
        <v>850</v>
      </c>
    </row>
    <row r="253" spans="1:7" x14ac:dyDescent="0.35">
      <c r="A253">
        <v>104010</v>
      </c>
      <c r="B253">
        <v>2207</v>
      </c>
      <c r="C253" t="s">
        <v>597</v>
      </c>
      <c r="D253" t="s">
        <v>598</v>
      </c>
      <c r="E253" t="s">
        <v>851</v>
      </c>
    </row>
    <row r="254" spans="1:7" x14ac:dyDescent="0.35">
      <c r="A254">
        <v>102665</v>
      </c>
      <c r="B254">
        <v>2104</v>
      </c>
      <c r="C254" t="s">
        <v>597</v>
      </c>
      <c r="D254" t="s">
        <v>598</v>
      </c>
      <c r="E254" t="s">
        <v>852</v>
      </c>
    </row>
    <row r="255" spans="1:7" x14ac:dyDescent="0.35">
      <c r="A255">
        <v>102135</v>
      </c>
      <c r="B255">
        <v>2351</v>
      </c>
      <c r="C255" t="s">
        <v>602</v>
      </c>
      <c r="D255" t="s">
        <v>603</v>
      </c>
      <c r="E255" t="s">
        <v>853</v>
      </c>
      <c r="G255">
        <v>220878</v>
      </c>
    </row>
    <row r="256" spans="1:7" x14ac:dyDescent="0.35">
      <c r="A256">
        <v>102986</v>
      </c>
      <c r="B256">
        <v>2133</v>
      </c>
      <c r="C256" t="s">
        <v>597</v>
      </c>
      <c r="D256" t="s">
        <v>598</v>
      </c>
      <c r="E256" t="s">
        <v>854</v>
      </c>
      <c r="G256">
        <v>221863</v>
      </c>
    </row>
    <row r="257" spans="1:7" x14ac:dyDescent="0.35">
      <c r="A257">
        <v>102667</v>
      </c>
      <c r="B257">
        <v>2438</v>
      </c>
      <c r="C257" t="s">
        <v>602</v>
      </c>
      <c r="D257" t="s">
        <v>603</v>
      </c>
      <c r="E257" t="s">
        <v>855</v>
      </c>
    </row>
    <row r="258" spans="1:7" x14ac:dyDescent="0.35">
      <c r="A258">
        <v>101278</v>
      </c>
      <c r="B258">
        <v>1959</v>
      </c>
      <c r="C258" t="s">
        <v>597</v>
      </c>
      <c r="D258" t="s">
        <v>598</v>
      </c>
      <c r="E258" t="s">
        <v>856</v>
      </c>
      <c r="G258">
        <v>217772</v>
      </c>
    </row>
    <row r="259" spans="1:7" x14ac:dyDescent="0.35">
      <c r="A259">
        <v>102806</v>
      </c>
      <c r="B259">
        <v>2120</v>
      </c>
      <c r="C259" t="s">
        <v>597</v>
      </c>
      <c r="D259" t="s">
        <v>598</v>
      </c>
      <c r="E259" t="s">
        <v>857</v>
      </c>
    </row>
    <row r="260" spans="1:7" x14ac:dyDescent="0.35">
      <c r="A260">
        <v>104240</v>
      </c>
      <c r="B260">
        <v>2627</v>
      </c>
      <c r="C260" t="s">
        <v>602</v>
      </c>
      <c r="D260" t="s">
        <v>603</v>
      </c>
      <c r="E260" t="s">
        <v>858</v>
      </c>
      <c r="G260">
        <v>1086</v>
      </c>
    </row>
    <row r="261" spans="1:7" x14ac:dyDescent="0.35">
      <c r="A261">
        <v>103732</v>
      </c>
      <c r="B261">
        <v>2183</v>
      </c>
      <c r="C261" t="s">
        <v>597</v>
      </c>
      <c r="D261" t="s">
        <v>598</v>
      </c>
      <c r="E261" t="s">
        <v>859</v>
      </c>
    </row>
    <row r="262" spans="1:7" x14ac:dyDescent="0.35">
      <c r="A262">
        <v>101109</v>
      </c>
      <c r="B262">
        <v>1911</v>
      </c>
      <c r="C262" t="s">
        <v>597</v>
      </c>
      <c r="D262" t="s">
        <v>598</v>
      </c>
      <c r="E262" t="s">
        <v>860</v>
      </c>
    </row>
    <row r="263" spans="1:7" x14ac:dyDescent="0.35">
      <c r="A263">
        <v>102380</v>
      </c>
      <c r="B263">
        <v>2078</v>
      </c>
      <c r="C263" t="s">
        <v>597</v>
      </c>
      <c r="D263" t="s">
        <v>598</v>
      </c>
      <c r="E263" t="s">
        <v>861</v>
      </c>
    </row>
    <row r="264" spans="1:7" x14ac:dyDescent="0.35">
      <c r="A264">
        <v>104106</v>
      </c>
      <c r="B264">
        <v>2214</v>
      </c>
      <c r="C264" t="s">
        <v>597</v>
      </c>
      <c r="D264" t="s">
        <v>598</v>
      </c>
      <c r="E264" t="s">
        <v>862</v>
      </c>
      <c r="G264">
        <v>226342</v>
      </c>
    </row>
    <row r="265" spans="1:7" x14ac:dyDescent="0.35">
      <c r="A265">
        <v>102348</v>
      </c>
      <c r="B265">
        <v>2072</v>
      </c>
      <c r="C265" t="s">
        <v>597</v>
      </c>
      <c r="D265" t="s">
        <v>598</v>
      </c>
      <c r="E265" t="s">
        <v>863</v>
      </c>
      <c r="G265">
        <v>217822</v>
      </c>
    </row>
    <row r="266" spans="1:7" x14ac:dyDescent="0.35">
      <c r="A266">
        <v>102443</v>
      </c>
      <c r="B266">
        <v>2090</v>
      </c>
      <c r="C266" t="s">
        <v>597</v>
      </c>
      <c r="D266" t="s">
        <v>598</v>
      </c>
      <c r="E266" t="s">
        <v>864</v>
      </c>
    </row>
    <row r="267" spans="1:7" x14ac:dyDescent="0.35">
      <c r="A267">
        <v>101628</v>
      </c>
      <c r="B267">
        <v>1980</v>
      </c>
      <c r="C267" t="s">
        <v>597</v>
      </c>
      <c r="D267" t="s">
        <v>598</v>
      </c>
      <c r="E267" t="s">
        <v>865</v>
      </c>
    </row>
    <row r="268" spans="1:7" x14ac:dyDescent="0.35">
      <c r="A268">
        <v>104046</v>
      </c>
      <c r="B268">
        <v>2211</v>
      </c>
      <c r="C268" t="s">
        <v>597</v>
      </c>
      <c r="D268" t="s">
        <v>598</v>
      </c>
      <c r="E268" t="s">
        <v>866</v>
      </c>
      <c r="G268">
        <v>226148</v>
      </c>
    </row>
    <row r="269" spans="1:7" x14ac:dyDescent="0.35">
      <c r="A269">
        <v>102705</v>
      </c>
      <c r="B269">
        <v>2107</v>
      </c>
      <c r="C269" t="s">
        <v>597</v>
      </c>
      <c r="D269" t="s">
        <v>598</v>
      </c>
      <c r="E269" t="s">
        <v>867</v>
      </c>
    </row>
    <row r="270" spans="1:7" x14ac:dyDescent="0.35">
      <c r="A270">
        <v>101831</v>
      </c>
      <c r="B270">
        <v>2010</v>
      </c>
      <c r="C270" t="s">
        <v>597</v>
      </c>
      <c r="D270" t="s">
        <v>598</v>
      </c>
      <c r="E270" t="s">
        <v>868</v>
      </c>
    </row>
    <row r="271" spans="1:7" x14ac:dyDescent="0.35">
      <c r="A271">
        <v>101743</v>
      </c>
      <c r="B271">
        <v>1990</v>
      </c>
      <c r="C271" t="s">
        <v>597</v>
      </c>
      <c r="D271" t="s">
        <v>598</v>
      </c>
      <c r="E271" t="s">
        <v>869</v>
      </c>
      <c r="G271">
        <v>220447</v>
      </c>
    </row>
    <row r="272" spans="1:7" x14ac:dyDescent="0.35">
      <c r="A272">
        <v>102687</v>
      </c>
      <c r="B272">
        <v>2106</v>
      </c>
      <c r="C272" t="s">
        <v>597</v>
      </c>
      <c r="D272" t="s">
        <v>598</v>
      </c>
      <c r="E272" t="s">
        <v>870</v>
      </c>
      <c r="G272">
        <v>221308</v>
      </c>
    </row>
    <row r="273" spans="1:7" x14ac:dyDescent="0.35">
      <c r="A273">
        <v>101134</v>
      </c>
      <c r="B273">
        <v>1919</v>
      </c>
      <c r="C273" t="s">
        <v>597</v>
      </c>
      <c r="D273" t="s">
        <v>598</v>
      </c>
      <c r="E273" t="s">
        <v>871</v>
      </c>
      <c r="G273">
        <v>219206</v>
      </c>
    </row>
    <row r="274" spans="1:7" x14ac:dyDescent="0.35">
      <c r="A274">
        <v>101752</v>
      </c>
      <c r="B274">
        <v>1995</v>
      </c>
      <c r="C274" t="s">
        <v>597</v>
      </c>
      <c r="D274" t="s">
        <v>598</v>
      </c>
      <c r="E274" t="s">
        <v>872</v>
      </c>
      <c r="G274">
        <v>668</v>
      </c>
    </row>
    <row r="275" spans="1:7" x14ac:dyDescent="0.35">
      <c r="A275">
        <v>101844</v>
      </c>
      <c r="B275">
        <v>2297</v>
      </c>
      <c r="C275" t="s">
        <v>602</v>
      </c>
      <c r="D275" t="s">
        <v>603</v>
      </c>
      <c r="E275" t="s">
        <v>873</v>
      </c>
    </row>
    <row r="276" spans="1:7" x14ac:dyDescent="0.35">
      <c r="A276">
        <v>102239</v>
      </c>
      <c r="B276">
        <v>2062</v>
      </c>
      <c r="C276" t="s">
        <v>597</v>
      </c>
      <c r="D276" t="s">
        <v>598</v>
      </c>
      <c r="E276" t="s">
        <v>874</v>
      </c>
      <c r="G276">
        <v>220163</v>
      </c>
    </row>
    <row r="277" spans="1:7" x14ac:dyDescent="0.35">
      <c r="A277">
        <v>101163</v>
      </c>
      <c r="B277">
        <v>1927</v>
      </c>
      <c r="C277" t="s">
        <v>597</v>
      </c>
      <c r="D277" t="s">
        <v>598</v>
      </c>
      <c r="E277" t="s">
        <v>875</v>
      </c>
    </row>
    <row r="278" spans="1:7" x14ac:dyDescent="0.35">
      <c r="A278">
        <v>101625</v>
      </c>
      <c r="B278">
        <v>1977</v>
      </c>
      <c r="C278" t="s">
        <v>597</v>
      </c>
      <c r="D278" t="s">
        <v>598</v>
      </c>
      <c r="E278" t="s">
        <v>876</v>
      </c>
    </row>
    <row r="279" spans="1:7" x14ac:dyDescent="0.35">
      <c r="A279">
        <v>102999</v>
      </c>
      <c r="B279">
        <v>2140</v>
      </c>
      <c r="C279" t="s">
        <v>597</v>
      </c>
      <c r="D279" t="s">
        <v>598</v>
      </c>
      <c r="E279" t="s">
        <v>877</v>
      </c>
    </row>
    <row r="280" spans="1:7" x14ac:dyDescent="0.35">
      <c r="A280">
        <v>103766</v>
      </c>
      <c r="B280">
        <v>2188</v>
      </c>
      <c r="C280" t="s">
        <v>597</v>
      </c>
      <c r="D280" t="s">
        <v>598</v>
      </c>
      <c r="E280" t="s">
        <v>878</v>
      </c>
    </row>
    <row r="281" spans="1:7" x14ac:dyDescent="0.35">
      <c r="A281">
        <v>101105</v>
      </c>
      <c r="B281">
        <v>1908</v>
      </c>
      <c r="C281" t="s">
        <v>597</v>
      </c>
      <c r="D281" t="s">
        <v>598</v>
      </c>
      <c r="E281" t="s">
        <v>879</v>
      </c>
    </row>
    <row r="282" spans="1:7" x14ac:dyDescent="0.35">
      <c r="A282">
        <v>101165</v>
      </c>
      <c r="B282">
        <v>1929</v>
      </c>
      <c r="C282" t="s">
        <v>597</v>
      </c>
      <c r="D282" t="s">
        <v>598</v>
      </c>
      <c r="E282" t="s">
        <v>880</v>
      </c>
    </row>
    <row r="283" spans="1:7" x14ac:dyDescent="0.35">
      <c r="A283">
        <v>101974</v>
      </c>
      <c r="B283">
        <v>2035</v>
      </c>
      <c r="C283" t="s">
        <v>597</v>
      </c>
      <c r="D283" t="s">
        <v>598</v>
      </c>
      <c r="E283" t="s">
        <v>881</v>
      </c>
    </row>
    <row r="284" spans="1:7" x14ac:dyDescent="0.35">
      <c r="A284">
        <v>103889</v>
      </c>
      <c r="B284">
        <v>1770</v>
      </c>
      <c r="C284" t="s">
        <v>602</v>
      </c>
      <c r="D284" t="s">
        <v>882</v>
      </c>
      <c r="E284" t="s">
        <v>883</v>
      </c>
      <c r="G284">
        <v>0</v>
      </c>
    </row>
    <row r="285" spans="1:7" x14ac:dyDescent="0.35">
      <c r="A285">
        <v>102615</v>
      </c>
      <c r="B285">
        <v>2102</v>
      </c>
      <c r="C285" t="s">
        <v>597</v>
      </c>
      <c r="D285" t="s">
        <v>598</v>
      </c>
      <c r="E285" t="s">
        <v>884</v>
      </c>
      <c r="G285">
        <v>217788</v>
      </c>
    </row>
    <row r="286" spans="1:7" x14ac:dyDescent="0.35">
      <c r="A286">
        <v>101884</v>
      </c>
      <c r="B286">
        <v>2311</v>
      </c>
      <c r="C286" t="s">
        <v>602</v>
      </c>
      <c r="D286" t="s">
        <v>603</v>
      </c>
      <c r="E286" t="s">
        <v>885</v>
      </c>
    </row>
    <row r="287" spans="1:7" x14ac:dyDescent="0.35">
      <c r="A287">
        <v>102466</v>
      </c>
      <c r="B287">
        <v>2093</v>
      </c>
      <c r="C287" t="s">
        <v>597</v>
      </c>
      <c r="D287" t="s">
        <v>598</v>
      </c>
      <c r="E287" t="s">
        <v>886</v>
      </c>
      <c r="G287">
        <v>220928</v>
      </c>
    </row>
    <row r="288" spans="1:7" x14ac:dyDescent="0.35">
      <c r="A288">
        <v>104012</v>
      </c>
      <c r="B288">
        <v>2209</v>
      </c>
      <c r="C288" t="s">
        <v>597</v>
      </c>
      <c r="D288" t="s">
        <v>598</v>
      </c>
      <c r="E288" t="s">
        <v>887</v>
      </c>
    </row>
    <row r="289" spans="1:7" x14ac:dyDescent="0.35">
      <c r="A289">
        <v>101818</v>
      </c>
      <c r="B289">
        <v>2005</v>
      </c>
      <c r="C289" t="s">
        <v>597</v>
      </c>
      <c r="D289" t="s">
        <v>598</v>
      </c>
      <c r="E289" t="s">
        <v>888</v>
      </c>
    </row>
    <row r="290" spans="1:7" x14ac:dyDescent="0.35">
      <c r="A290">
        <v>103347</v>
      </c>
      <c r="B290">
        <v>2164</v>
      </c>
      <c r="C290" t="s">
        <v>597</v>
      </c>
      <c r="D290" t="s">
        <v>598</v>
      </c>
      <c r="E290" t="s">
        <v>889</v>
      </c>
    </row>
    <row r="291" spans="1:7" x14ac:dyDescent="0.35">
      <c r="A291">
        <v>101302</v>
      </c>
      <c r="B291">
        <v>1967</v>
      </c>
      <c r="C291" t="s">
        <v>597</v>
      </c>
      <c r="D291" t="s">
        <v>598</v>
      </c>
      <c r="E291" t="s">
        <v>890</v>
      </c>
    </row>
    <row r="292" spans="1:7" x14ac:dyDescent="0.35">
      <c r="A292">
        <v>101991</v>
      </c>
      <c r="B292">
        <v>2043</v>
      </c>
      <c r="C292" t="s">
        <v>597</v>
      </c>
      <c r="D292" t="s">
        <v>598</v>
      </c>
      <c r="E292" t="s">
        <v>891</v>
      </c>
    </row>
    <row r="293" spans="1:7" x14ac:dyDescent="0.35">
      <c r="A293">
        <v>102522</v>
      </c>
      <c r="B293">
        <v>2098</v>
      </c>
      <c r="C293" t="s">
        <v>597</v>
      </c>
      <c r="D293" t="s">
        <v>598</v>
      </c>
      <c r="E293" t="s">
        <v>892</v>
      </c>
    </row>
    <row r="294" spans="1:7" x14ac:dyDescent="0.35">
      <c r="A294">
        <v>101838</v>
      </c>
      <c r="B294">
        <v>2012</v>
      </c>
      <c r="C294" t="s">
        <v>597</v>
      </c>
      <c r="D294" t="s">
        <v>598</v>
      </c>
      <c r="E294" t="s">
        <v>893</v>
      </c>
      <c r="G294">
        <v>220176</v>
      </c>
    </row>
    <row r="295" spans="1:7" x14ac:dyDescent="0.35">
      <c r="A295">
        <v>101746</v>
      </c>
      <c r="B295">
        <v>1993</v>
      </c>
      <c r="C295" t="s">
        <v>597</v>
      </c>
      <c r="D295" t="s">
        <v>598</v>
      </c>
      <c r="E295" t="s">
        <v>894</v>
      </c>
    </row>
    <row r="296" spans="1:7" x14ac:dyDescent="0.35">
      <c r="A296">
        <v>102786</v>
      </c>
      <c r="B296">
        <v>2118</v>
      </c>
      <c r="C296" t="s">
        <v>597</v>
      </c>
      <c r="D296" t="s">
        <v>598</v>
      </c>
      <c r="E296" t="s">
        <v>895</v>
      </c>
    </row>
    <row r="297" spans="1:7" x14ac:dyDescent="0.35">
      <c r="A297">
        <v>101949</v>
      </c>
      <c r="B297">
        <v>2029</v>
      </c>
      <c r="C297" t="s">
        <v>597</v>
      </c>
      <c r="D297" t="s">
        <v>598</v>
      </c>
      <c r="E297" t="s">
        <v>896</v>
      </c>
    </row>
    <row r="298" spans="1:7" x14ac:dyDescent="0.35">
      <c r="A298">
        <v>102227</v>
      </c>
      <c r="B298">
        <v>2059</v>
      </c>
      <c r="C298" t="s">
        <v>597</v>
      </c>
      <c r="D298" t="s">
        <v>598</v>
      </c>
      <c r="E298" t="s">
        <v>897</v>
      </c>
      <c r="G298">
        <v>219328</v>
      </c>
    </row>
    <row r="299" spans="1:7" x14ac:dyDescent="0.35">
      <c r="A299">
        <v>101976</v>
      </c>
      <c r="B299">
        <v>2036</v>
      </c>
      <c r="C299" t="s">
        <v>597</v>
      </c>
      <c r="D299" t="s">
        <v>598</v>
      </c>
      <c r="E299" t="s">
        <v>898</v>
      </c>
    </row>
    <row r="300" spans="1:7" x14ac:dyDescent="0.35">
      <c r="A300">
        <v>101025</v>
      </c>
      <c r="B300">
        <v>1898</v>
      </c>
      <c r="C300" t="s">
        <v>597</v>
      </c>
      <c r="D300" t="s">
        <v>598</v>
      </c>
      <c r="E300" t="s">
        <v>899</v>
      </c>
      <c r="G300">
        <v>217938</v>
      </c>
    </row>
    <row r="301" spans="1:7" x14ac:dyDescent="0.35">
      <c r="A301">
        <v>101123</v>
      </c>
      <c r="B301">
        <v>1915</v>
      </c>
      <c r="C301" t="s">
        <v>597</v>
      </c>
      <c r="D301" t="s">
        <v>598</v>
      </c>
      <c r="E301" t="s">
        <v>900</v>
      </c>
    </row>
    <row r="302" spans="1:7" x14ac:dyDescent="0.35">
      <c r="A302">
        <v>102425</v>
      </c>
      <c r="B302">
        <v>2084</v>
      </c>
      <c r="C302" t="s">
        <v>597</v>
      </c>
      <c r="D302" t="s">
        <v>598</v>
      </c>
      <c r="E302" t="s">
        <v>901</v>
      </c>
    </row>
    <row r="303" spans="1:7" x14ac:dyDescent="0.35">
      <c r="A303">
        <v>102401</v>
      </c>
      <c r="B303">
        <v>2400</v>
      </c>
      <c r="C303" t="s">
        <v>602</v>
      </c>
      <c r="D303" t="s">
        <v>603</v>
      </c>
      <c r="E303" t="s">
        <v>902</v>
      </c>
      <c r="G303">
        <v>289</v>
      </c>
    </row>
    <row r="304" spans="1:7" x14ac:dyDescent="0.35">
      <c r="A304">
        <v>103789</v>
      </c>
      <c r="B304">
        <v>2190</v>
      </c>
      <c r="C304" t="s">
        <v>597</v>
      </c>
      <c r="D304" t="s">
        <v>598</v>
      </c>
      <c r="E304" t="s">
        <v>903</v>
      </c>
    </row>
    <row r="305" spans="1:7" x14ac:dyDescent="0.35">
      <c r="A305">
        <v>102270</v>
      </c>
      <c r="B305">
        <v>2065</v>
      </c>
      <c r="C305" t="s">
        <v>597</v>
      </c>
      <c r="D305" t="s">
        <v>598</v>
      </c>
      <c r="E305" t="s">
        <v>904</v>
      </c>
      <c r="G305">
        <v>221852</v>
      </c>
    </row>
    <row r="306" spans="1:7" x14ac:dyDescent="0.35">
      <c r="A306">
        <v>102361</v>
      </c>
      <c r="B306">
        <v>2074</v>
      </c>
      <c r="C306" t="s">
        <v>597</v>
      </c>
      <c r="D306" t="s">
        <v>598</v>
      </c>
      <c r="E306" t="s">
        <v>905</v>
      </c>
      <c r="G306">
        <v>21942</v>
      </c>
    </row>
    <row r="307" spans="1:7" x14ac:dyDescent="0.35">
      <c r="A307">
        <v>104300</v>
      </c>
      <c r="B307">
        <v>2641</v>
      </c>
      <c r="C307" t="s">
        <v>602</v>
      </c>
      <c r="D307" t="s">
        <v>603</v>
      </c>
      <c r="E307" t="s">
        <v>906</v>
      </c>
      <c r="G307">
        <v>21199</v>
      </c>
    </row>
    <row r="308" spans="1:7" x14ac:dyDescent="0.35">
      <c r="A308">
        <v>103660</v>
      </c>
      <c r="B308">
        <v>2180</v>
      </c>
      <c r="C308" t="s">
        <v>597</v>
      </c>
      <c r="D308" t="s">
        <v>598</v>
      </c>
      <c r="E308" t="s">
        <v>907</v>
      </c>
      <c r="G308">
        <v>836</v>
      </c>
    </row>
    <row r="309" spans="1:7" x14ac:dyDescent="0.35">
      <c r="A309">
        <v>101081</v>
      </c>
      <c r="B309">
        <v>1902</v>
      </c>
      <c r="C309" t="s">
        <v>597</v>
      </c>
      <c r="D309" t="s">
        <v>598</v>
      </c>
      <c r="E309" t="s">
        <v>908</v>
      </c>
    </row>
    <row r="310" spans="1:7" x14ac:dyDescent="0.35">
      <c r="A310">
        <v>101241</v>
      </c>
      <c r="B310">
        <v>1951</v>
      </c>
      <c r="C310" t="s">
        <v>597</v>
      </c>
      <c r="D310" t="s">
        <v>598</v>
      </c>
      <c r="E310" t="s">
        <v>909</v>
      </c>
    </row>
    <row r="311" spans="1:7" x14ac:dyDescent="0.35">
      <c r="A311">
        <v>102333</v>
      </c>
      <c r="B311">
        <v>2071</v>
      </c>
      <c r="C311" t="s">
        <v>597</v>
      </c>
      <c r="D311" t="s">
        <v>598</v>
      </c>
      <c r="E311" t="s">
        <v>910</v>
      </c>
    </row>
    <row r="312" spans="1:7" x14ac:dyDescent="0.35">
      <c r="A312">
        <v>103115</v>
      </c>
      <c r="B312">
        <v>2146</v>
      </c>
      <c r="C312" t="s">
        <v>597</v>
      </c>
      <c r="D312" t="s">
        <v>598</v>
      </c>
      <c r="E312" t="s">
        <v>911</v>
      </c>
      <c r="G312">
        <v>222079</v>
      </c>
    </row>
    <row r="313" spans="1:7" x14ac:dyDescent="0.35">
      <c r="A313">
        <v>104176</v>
      </c>
      <c r="B313">
        <v>2222</v>
      </c>
      <c r="C313" t="s">
        <v>597</v>
      </c>
      <c r="D313" t="s">
        <v>598</v>
      </c>
      <c r="E313" t="s">
        <v>912</v>
      </c>
      <c r="G313">
        <v>226841</v>
      </c>
    </row>
    <row r="314" spans="1:7" x14ac:dyDescent="0.35">
      <c r="A314">
        <v>101160</v>
      </c>
      <c r="B314">
        <v>1926</v>
      </c>
      <c r="C314" t="s">
        <v>597</v>
      </c>
      <c r="D314" t="s">
        <v>598</v>
      </c>
      <c r="E314" t="s">
        <v>913</v>
      </c>
      <c r="G314">
        <v>219304</v>
      </c>
    </row>
    <row r="315" spans="1:7" x14ac:dyDescent="0.35">
      <c r="A315">
        <v>102792</v>
      </c>
      <c r="B315">
        <v>2119</v>
      </c>
      <c r="C315" t="s">
        <v>597</v>
      </c>
      <c r="D315" t="s">
        <v>598</v>
      </c>
      <c r="E315" t="s">
        <v>914</v>
      </c>
    </row>
    <row r="316" spans="1:7" x14ac:dyDescent="0.35">
      <c r="A316">
        <v>102183</v>
      </c>
      <c r="B316">
        <v>2053</v>
      </c>
      <c r="C316" t="s">
        <v>597</v>
      </c>
      <c r="D316" t="s">
        <v>598</v>
      </c>
      <c r="E316" t="s">
        <v>915</v>
      </c>
    </row>
    <row r="317" spans="1:7" x14ac:dyDescent="0.35">
      <c r="A317">
        <v>101086</v>
      </c>
      <c r="B317">
        <v>1904</v>
      </c>
      <c r="C317" t="s">
        <v>597</v>
      </c>
      <c r="D317" t="s">
        <v>598</v>
      </c>
      <c r="E317" t="s">
        <v>916</v>
      </c>
    </row>
    <row r="318" spans="1:7" x14ac:dyDescent="0.35">
      <c r="A318">
        <v>103262</v>
      </c>
      <c r="B318">
        <v>2160</v>
      </c>
      <c r="C318" t="s">
        <v>597</v>
      </c>
      <c r="D318" t="s">
        <v>598</v>
      </c>
      <c r="E318" t="s">
        <v>917</v>
      </c>
    </row>
    <row r="319" spans="1:7" x14ac:dyDescent="0.35">
      <c r="A319">
        <v>103101</v>
      </c>
      <c r="B319">
        <v>2144</v>
      </c>
      <c r="C319" t="s">
        <v>597</v>
      </c>
      <c r="D319" t="s">
        <v>598</v>
      </c>
      <c r="E319" t="s">
        <v>918</v>
      </c>
    </row>
    <row r="320" spans="1:7" x14ac:dyDescent="0.35">
      <c r="A320">
        <v>101248</v>
      </c>
      <c r="B320">
        <v>2256</v>
      </c>
      <c r="C320" t="s">
        <v>602</v>
      </c>
      <c r="D320" t="s">
        <v>603</v>
      </c>
      <c r="E320" t="s">
        <v>919</v>
      </c>
    </row>
    <row r="321" spans="1:7" x14ac:dyDescent="0.35">
      <c r="A321">
        <v>101853</v>
      </c>
      <c r="B321">
        <v>2300</v>
      </c>
      <c r="C321" t="s">
        <v>602</v>
      </c>
      <c r="D321" t="s">
        <v>603</v>
      </c>
      <c r="E321" t="s">
        <v>920</v>
      </c>
    </row>
    <row r="322" spans="1:7" x14ac:dyDescent="0.35">
      <c r="A322">
        <v>102980</v>
      </c>
      <c r="B322">
        <v>2128</v>
      </c>
      <c r="C322" t="s">
        <v>597</v>
      </c>
      <c r="D322" t="s">
        <v>598</v>
      </c>
      <c r="E322" t="s">
        <v>921</v>
      </c>
    </row>
    <row r="323" spans="1:7" x14ac:dyDescent="0.35">
      <c r="A323">
        <v>101284</v>
      </c>
      <c r="B323">
        <v>1962</v>
      </c>
      <c r="C323" t="s">
        <v>597</v>
      </c>
      <c r="D323" t="s">
        <v>598</v>
      </c>
      <c r="E323" t="s">
        <v>922</v>
      </c>
      <c r="G323">
        <v>22928</v>
      </c>
    </row>
    <row r="324" spans="1:7" x14ac:dyDescent="0.35">
      <c r="A324">
        <v>103214</v>
      </c>
      <c r="B324">
        <v>2155</v>
      </c>
      <c r="C324" t="s">
        <v>597</v>
      </c>
      <c r="D324" t="s">
        <v>598</v>
      </c>
      <c r="E324" t="s">
        <v>923</v>
      </c>
      <c r="G324">
        <v>278</v>
      </c>
    </row>
    <row r="325" spans="1:7" x14ac:dyDescent="0.35">
      <c r="A325">
        <v>101896</v>
      </c>
      <c r="B325">
        <v>2021</v>
      </c>
      <c r="C325" t="s">
        <v>597</v>
      </c>
      <c r="D325" t="s">
        <v>598</v>
      </c>
      <c r="E325" t="s">
        <v>924</v>
      </c>
    </row>
    <row r="326" spans="1:7" x14ac:dyDescent="0.35">
      <c r="A326">
        <v>102545</v>
      </c>
      <c r="B326">
        <v>2099</v>
      </c>
      <c r="C326" t="s">
        <v>597</v>
      </c>
      <c r="D326" t="s">
        <v>598</v>
      </c>
      <c r="E326" t="s">
        <v>925</v>
      </c>
      <c r="G326">
        <v>221045</v>
      </c>
    </row>
    <row r="327" spans="1:7" x14ac:dyDescent="0.35">
      <c r="A327">
        <v>102246</v>
      </c>
      <c r="B327">
        <v>2063</v>
      </c>
      <c r="C327" t="s">
        <v>597</v>
      </c>
      <c r="D327" t="s">
        <v>598</v>
      </c>
      <c r="E327" t="s">
        <v>926</v>
      </c>
    </row>
    <row r="328" spans="1:7" x14ac:dyDescent="0.35">
      <c r="A328">
        <v>102830</v>
      </c>
      <c r="B328">
        <v>2473</v>
      </c>
      <c r="C328" t="s">
        <v>602</v>
      </c>
      <c r="D328" t="s">
        <v>603</v>
      </c>
      <c r="E328" t="s">
        <v>927</v>
      </c>
      <c r="G328">
        <v>221755</v>
      </c>
    </row>
    <row r="329" spans="1:7" x14ac:dyDescent="0.35">
      <c r="A329">
        <v>103447</v>
      </c>
      <c r="B329">
        <v>2167</v>
      </c>
      <c r="C329" t="s">
        <v>597</v>
      </c>
      <c r="D329" t="s">
        <v>598</v>
      </c>
      <c r="E329" t="s">
        <v>928</v>
      </c>
      <c r="G329">
        <v>219531</v>
      </c>
    </row>
    <row r="330" spans="1:7" x14ac:dyDescent="0.35">
      <c r="A330">
        <v>101164</v>
      </c>
      <c r="B330">
        <v>1928</v>
      </c>
      <c r="C330" t="s">
        <v>597</v>
      </c>
      <c r="D330" t="s">
        <v>598</v>
      </c>
      <c r="E330" t="s">
        <v>929</v>
      </c>
    </row>
    <row r="331" spans="1:7" x14ac:dyDescent="0.35">
      <c r="A331">
        <v>102374</v>
      </c>
      <c r="B331">
        <v>2076</v>
      </c>
      <c r="C331" t="s">
        <v>597</v>
      </c>
      <c r="D331" t="s">
        <v>598</v>
      </c>
      <c r="E331" t="s">
        <v>930</v>
      </c>
    </row>
    <row r="332" spans="1:7" x14ac:dyDescent="0.35">
      <c r="A332">
        <v>103887</v>
      </c>
      <c r="B332">
        <v>2197</v>
      </c>
      <c r="C332" t="s">
        <v>597</v>
      </c>
      <c r="D332" t="s">
        <v>598</v>
      </c>
      <c r="E332" t="s">
        <v>931</v>
      </c>
      <c r="G332">
        <v>219633</v>
      </c>
    </row>
    <row r="333" spans="1:7" x14ac:dyDescent="0.35">
      <c r="A333">
        <v>101948</v>
      </c>
      <c r="B333">
        <v>2028</v>
      </c>
      <c r="C333" t="s">
        <v>597</v>
      </c>
      <c r="D333" t="s">
        <v>598</v>
      </c>
      <c r="E333" t="s">
        <v>932</v>
      </c>
      <c r="G333">
        <v>220387</v>
      </c>
    </row>
    <row r="334" spans="1:7" x14ac:dyDescent="0.35">
      <c r="A334">
        <v>102290</v>
      </c>
      <c r="B334">
        <v>2068</v>
      </c>
      <c r="C334" t="s">
        <v>597</v>
      </c>
      <c r="D334" t="s">
        <v>598</v>
      </c>
      <c r="E334" t="s">
        <v>933</v>
      </c>
      <c r="G334">
        <v>220678</v>
      </c>
    </row>
    <row r="335" spans="1:7" x14ac:dyDescent="0.35">
      <c r="A335">
        <v>101084</v>
      </c>
      <c r="B335">
        <v>2236</v>
      </c>
      <c r="C335" t="s">
        <v>602</v>
      </c>
      <c r="D335" t="s">
        <v>603</v>
      </c>
      <c r="E335" t="s">
        <v>934</v>
      </c>
      <c r="G335">
        <v>220162</v>
      </c>
    </row>
    <row r="336" spans="1:7" x14ac:dyDescent="0.35">
      <c r="A336">
        <v>101973</v>
      </c>
      <c r="B336">
        <v>2034</v>
      </c>
      <c r="C336" t="s">
        <v>597</v>
      </c>
      <c r="D336" t="s">
        <v>598</v>
      </c>
      <c r="E336" t="s">
        <v>935</v>
      </c>
      <c r="G336">
        <v>2987</v>
      </c>
    </row>
    <row r="337" spans="1:7" x14ac:dyDescent="0.35">
      <c r="A337">
        <v>101798</v>
      </c>
      <c r="B337">
        <v>2000</v>
      </c>
      <c r="C337" t="s">
        <v>597</v>
      </c>
      <c r="D337" t="s">
        <v>598</v>
      </c>
      <c r="E337" t="s">
        <v>936</v>
      </c>
      <c r="G337">
        <v>220081</v>
      </c>
    </row>
    <row r="338" spans="1:7" x14ac:dyDescent="0.35">
      <c r="A338">
        <v>103229</v>
      </c>
      <c r="B338">
        <v>2157</v>
      </c>
      <c r="C338" t="s">
        <v>597</v>
      </c>
      <c r="D338" t="s">
        <v>598</v>
      </c>
      <c r="E338" t="s">
        <v>937</v>
      </c>
    </row>
    <row r="339" spans="1:7" x14ac:dyDescent="0.35">
      <c r="A339">
        <v>101744</v>
      </c>
      <c r="B339">
        <v>1991</v>
      </c>
      <c r="C339" t="s">
        <v>597</v>
      </c>
      <c r="D339" t="s">
        <v>598</v>
      </c>
      <c r="E339" t="s">
        <v>938</v>
      </c>
      <c r="G339">
        <v>217778</v>
      </c>
    </row>
    <row r="340" spans="1:7" x14ac:dyDescent="0.35">
      <c r="A340">
        <v>103890</v>
      </c>
      <c r="B340">
        <v>2198</v>
      </c>
      <c r="C340" t="s">
        <v>597</v>
      </c>
      <c r="D340" t="s">
        <v>598</v>
      </c>
      <c r="E340" t="s">
        <v>939</v>
      </c>
      <c r="G340">
        <v>225331</v>
      </c>
    </row>
    <row r="341" spans="1:7" x14ac:dyDescent="0.35">
      <c r="A341">
        <v>102731</v>
      </c>
      <c r="B341">
        <v>2110</v>
      </c>
      <c r="C341" t="s">
        <v>597</v>
      </c>
      <c r="D341" t="s">
        <v>598</v>
      </c>
      <c r="E341" t="s">
        <v>940</v>
      </c>
    </row>
    <row r="342" spans="1:7" x14ac:dyDescent="0.35">
      <c r="A342">
        <v>101210</v>
      </c>
      <c r="B342">
        <v>1944</v>
      </c>
      <c r="C342" t="s">
        <v>597</v>
      </c>
      <c r="D342" t="s">
        <v>598</v>
      </c>
      <c r="E342" t="s">
        <v>941</v>
      </c>
    </row>
    <row r="343" spans="1:7" x14ac:dyDescent="0.35">
      <c r="A343">
        <v>101237</v>
      </c>
      <c r="B343">
        <v>1949</v>
      </c>
      <c r="C343" t="s">
        <v>597</v>
      </c>
      <c r="D343" t="s">
        <v>598</v>
      </c>
      <c r="E343" t="s">
        <v>942</v>
      </c>
    </row>
    <row r="344" spans="1:7" x14ac:dyDescent="0.35">
      <c r="A344">
        <v>103858</v>
      </c>
      <c r="B344">
        <v>2195</v>
      </c>
      <c r="C344" t="s">
        <v>597</v>
      </c>
      <c r="D344" t="s">
        <v>598</v>
      </c>
      <c r="E344" t="s">
        <v>943</v>
      </c>
    </row>
    <row r="345" spans="1:7" x14ac:dyDescent="0.35">
      <c r="A345">
        <v>102659</v>
      </c>
      <c r="B345">
        <v>2103</v>
      </c>
      <c r="C345" t="s">
        <v>597</v>
      </c>
      <c r="D345" t="s">
        <v>598</v>
      </c>
      <c r="E345" t="s">
        <v>944</v>
      </c>
    </row>
    <row r="346" spans="1:7" x14ac:dyDescent="0.35">
      <c r="A346">
        <v>102777</v>
      </c>
      <c r="B346">
        <v>2117</v>
      </c>
      <c r="C346" t="s">
        <v>597</v>
      </c>
      <c r="D346" t="s">
        <v>598</v>
      </c>
      <c r="E346" t="s">
        <v>945</v>
      </c>
    </row>
    <row r="347" spans="1:7" x14ac:dyDescent="0.35">
      <c r="A347">
        <v>103202</v>
      </c>
      <c r="B347">
        <v>2503</v>
      </c>
      <c r="C347" t="s">
        <v>602</v>
      </c>
      <c r="D347" t="s">
        <v>603</v>
      </c>
      <c r="E347" t="s">
        <v>946</v>
      </c>
      <c r="G347">
        <v>222008</v>
      </c>
    </row>
    <row r="348" spans="1:7" x14ac:dyDescent="0.35">
      <c r="A348">
        <v>102992</v>
      </c>
      <c r="B348">
        <v>2139</v>
      </c>
      <c r="C348" t="s">
        <v>597</v>
      </c>
      <c r="D348" t="s">
        <v>598</v>
      </c>
      <c r="E348" t="s">
        <v>947</v>
      </c>
    </row>
    <row r="349" spans="1:7" x14ac:dyDescent="0.35">
      <c r="A349">
        <v>102430</v>
      </c>
      <c r="B349">
        <v>2086</v>
      </c>
      <c r="C349" t="s">
        <v>597</v>
      </c>
      <c r="D349" t="s">
        <v>598</v>
      </c>
      <c r="E349" t="s">
        <v>948</v>
      </c>
      <c r="G349">
        <v>217873</v>
      </c>
    </row>
    <row r="350" spans="1:7" x14ac:dyDescent="0.35">
      <c r="A350">
        <v>103078</v>
      </c>
      <c r="B350">
        <v>2487</v>
      </c>
      <c r="C350" t="s">
        <v>602</v>
      </c>
      <c r="D350" t="s">
        <v>603</v>
      </c>
      <c r="E350" t="s">
        <v>949</v>
      </c>
      <c r="G350">
        <v>221667</v>
      </c>
    </row>
    <row r="351" spans="1:7" x14ac:dyDescent="0.35">
      <c r="A351">
        <v>103498</v>
      </c>
      <c r="B351">
        <v>2532</v>
      </c>
      <c r="C351" t="s">
        <v>602</v>
      </c>
      <c r="D351" t="s">
        <v>603</v>
      </c>
      <c r="E351" t="s">
        <v>950</v>
      </c>
    </row>
    <row r="352" spans="1:7" x14ac:dyDescent="0.35">
      <c r="A352">
        <v>102006</v>
      </c>
      <c r="B352">
        <v>2045</v>
      </c>
      <c r="C352" t="s">
        <v>597</v>
      </c>
      <c r="D352" t="s">
        <v>598</v>
      </c>
      <c r="E352" t="s">
        <v>951</v>
      </c>
    </row>
    <row r="353" spans="1:13" x14ac:dyDescent="0.35">
      <c r="A353">
        <v>101282</v>
      </c>
      <c r="B353">
        <v>1961</v>
      </c>
      <c r="C353" t="s">
        <v>597</v>
      </c>
      <c r="D353" t="s">
        <v>598</v>
      </c>
      <c r="E353" t="s">
        <v>952</v>
      </c>
      <c r="G353">
        <v>217930</v>
      </c>
    </row>
    <row r="354" spans="1:13" x14ac:dyDescent="0.35">
      <c r="A354">
        <v>101205</v>
      </c>
      <c r="B354">
        <v>1942</v>
      </c>
      <c r="C354" t="s">
        <v>597</v>
      </c>
      <c r="D354" t="s">
        <v>598</v>
      </c>
      <c r="E354" t="s">
        <v>953</v>
      </c>
    </row>
    <row r="355" spans="1:13" x14ac:dyDescent="0.35">
      <c r="A355">
        <v>104020</v>
      </c>
      <c r="B355">
        <v>2210</v>
      </c>
      <c r="C355" t="s">
        <v>597</v>
      </c>
      <c r="D355" t="s">
        <v>598</v>
      </c>
      <c r="E355" t="s">
        <v>954</v>
      </c>
      <c r="G355">
        <v>225345</v>
      </c>
    </row>
    <row r="356" spans="1:13" x14ac:dyDescent="0.35">
      <c r="A356">
        <v>103376</v>
      </c>
      <c r="B356">
        <v>2165</v>
      </c>
      <c r="C356" t="s">
        <v>597</v>
      </c>
      <c r="D356" t="s">
        <v>598</v>
      </c>
      <c r="E356" t="s">
        <v>955</v>
      </c>
    </row>
    <row r="357" spans="1:13" x14ac:dyDescent="0.35">
      <c r="A357">
        <v>101136</v>
      </c>
      <c r="B357">
        <v>1920</v>
      </c>
      <c r="C357" t="s">
        <v>597</v>
      </c>
      <c r="D357" t="s">
        <v>598</v>
      </c>
      <c r="E357" t="s">
        <v>956</v>
      </c>
    </row>
    <row r="358" spans="1:13" x14ac:dyDescent="0.35">
      <c r="A358">
        <v>101121</v>
      </c>
      <c r="B358">
        <v>1914</v>
      </c>
      <c r="C358" t="s">
        <v>597</v>
      </c>
      <c r="D358" t="s">
        <v>598</v>
      </c>
      <c r="E358" t="s">
        <v>957</v>
      </c>
    </row>
    <row r="359" spans="1:13" x14ac:dyDescent="0.35">
      <c r="A359">
        <v>102202</v>
      </c>
      <c r="B359">
        <v>2055</v>
      </c>
      <c r="C359" t="s">
        <v>597</v>
      </c>
      <c r="D359" t="s">
        <v>598</v>
      </c>
      <c r="E359" t="s">
        <v>958</v>
      </c>
    </row>
    <row r="360" spans="1:13" x14ac:dyDescent="0.35">
      <c r="A360">
        <v>103261</v>
      </c>
      <c r="B360">
        <v>2159</v>
      </c>
      <c r="C360" t="s">
        <v>597</v>
      </c>
      <c r="D360" t="s">
        <v>598</v>
      </c>
      <c r="E360" t="s">
        <v>959</v>
      </c>
      <c r="G360">
        <v>222376</v>
      </c>
    </row>
    <row r="361" spans="1:13" x14ac:dyDescent="0.35">
      <c r="A361">
        <v>0</v>
      </c>
      <c r="B361">
        <v>2701</v>
      </c>
      <c r="C361" t="s">
        <v>602</v>
      </c>
      <c r="D361" t="s">
        <v>960</v>
      </c>
      <c r="E361" t="s">
        <v>961</v>
      </c>
      <c r="I361">
        <v>682</v>
      </c>
      <c r="J361">
        <v>27</v>
      </c>
      <c r="M361" t="s">
        <v>961</v>
      </c>
    </row>
    <row r="362" spans="1:13" x14ac:dyDescent="0.35">
      <c r="A362">
        <v>104485</v>
      </c>
      <c r="B362">
        <v>3472</v>
      </c>
      <c r="C362" t="s">
        <v>602</v>
      </c>
      <c r="D362" t="s">
        <v>962</v>
      </c>
      <c r="E362" t="s">
        <v>963</v>
      </c>
      <c r="F362">
        <v>6274</v>
      </c>
      <c r="G362">
        <v>227387</v>
      </c>
      <c r="H362" t="s">
        <v>964</v>
      </c>
      <c r="I362">
        <v>525</v>
      </c>
      <c r="J362">
        <v>509</v>
      </c>
      <c r="L362" t="s">
        <v>965</v>
      </c>
      <c r="M362" t="s">
        <v>966</v>
      </c>
    </row>
    <row r="363" spans="1:13" x14ac:dyDescent="0.35">
      <c r="A363">
        <v>104416</v>
      </c>
      <c r="B363">
        <v>3512</v>
      </c>
      <c r="C363" t="s">
        <v>602</v>
      </c>
      <c r="D363" t="s">
        <v>962</v>
      </c>
      <c r="E363" t="s">
        <v>967</v>
      </c>
      <c r="F363">
        <v>6246</v>
      </c>
      <c r="G363">
        <v>229578</v>
      </c>
      <c r="H363" t="s">
        <v>964</v>
      </c>
      <c r="I363">
        <v>524</v>
      </c>
      <c r="J363">
        <v>508</v>
      </c>
      <c r="L363" t="s">
        <v>965</v>
      </c>
    </row>
    <row r="364" spans="1:13" x14ac:dyDescent="0.35">
      <c r="A364">
        <v>104417</v>
      </c>
      <c r="B364">
        <v>3508</v>
      </c>
      <c r="C364" t="s">
        <v>968</v>
      </c>
      <c r="D364" t="s">
        <v>962</v>
      </c>
      <c r="E364" t="s">
        <v>969</v>
      </c>
      <c r="F364">
        <v>6281</v>
      </c>
      <c r="G364">
        <v>229556</v>
      </c>
      <c r="H364" t="s">
        <v>964</v>
      </c>
      <c r="I364">
        <v>523</v>
      </c>
      <c r="J364">
        <v>507</v>
      </c>
      <c r="L364" t="s">
        <v>965</v>
      </c>
    </row>
    <row r="365" spans="1:13" x14ac:dyDescent="0.35">
      <c r="A365">
        <v>104401</v>
      </c>
      <c r="B365">
        <v>3479</v>
      </c>
      <c r="C365" t="s">
        <v>602</v>
      </c>
      <c r="D365" t="s">
        <v>962</v>
      </c>
      <c r="E365" t="s">
        <v>970</v>
      </c>
      <c r="F365">
        <v>5959</v>
      </c>
      <c r="G365">
        <v>229472</v>
      </c>
      <c r="H365" t="s">
        <v>964</v>
      </c>
      <c r="I365">
        <v>522</v>
      </c>
      <c r="J365">
        <v>506</v>
      </c>
      <c r="L365" t="s">
        <v>965</v>
      </c>
    </row>
    <row r="366" spans="1:13" x14ac:dyDescent="0.35">
      <c r="A366">
        <v>104399</v>
      </c>
      <c r="B366">
        <v>3480</v>
      </c>
      <c r="C366" t="s">
        <v>602</v>
      </c>
      <c r="D366" t="s">
        <v>962</v>
      </c>
      <c r="E366" t="s">
        <v>971</v>
      </c>
      <c r="F366">
        <v>6259</v>
      </c>
      <c r="G366">
        <v>229474</v>
      </c>
      <c r="H366" t="s">
        <v>964</v>
      </c>
      <c r="I366">
        <v>521</v>
      </c>
      <c r="J366">
        <v>505</v>
      </c>
      <c r="K366" t="s">
        <v>972</v>
      </c>
      <c r="L366" t="s">
        <v>965</v>
      </c>
      <c r="M366" t="s">
        <v>973</v>
      </c>
    </row>
    <row r="367" spans="1:13" x14ac:dyDescent="0.35">
      <c r="A367">
        <v>104407</v>
      </c>
      <c r="B367">
        <v>3474</v>
      </c>
      <c r="C367" t="s">
        <v>602</v>
      </c>
      <c r="D367" t="s">
        <v>962</v>
      </c>
      <c r="E367" t="s">
        <v>974</v>
      </c>
      <c r="F367">
        <v>6200</v>
      </c>
      <c r="G367">
        <v>229449</v>
      </c>
      <c r="H367" t="s">
        <v>964</v>
      </c>
      <c r="I367">
        <v>520</v>
      </c>
      <c r="J367">
        <v>504</v>
      </c>
      <c r="L367" t="s">
        <v>965</v>
      </c>
      <c r="M367" t="s">
        <v>975</v>
      </c>
    </row>
    <row r="368" spans="1:13" x14ac:dyDescent="0.35">
      <c r="A368">
        <v>104400</v>
      </c>
      <c r="B368">
        <v>3459</v>
      </c>
      <c r="C368" t="s">
        <v>602</v>
      </c>
      <c r="D368" t="s">
        <v>962</v>
      </c>
      <c r="E368" t="s">
        <v>976</v>
      </c>
      <c r="F368">
        <v>6188</v>
      </c>
      <c r="G368">
        <v>229389</v>
      </c>
      <c r="H368" t="s">
        <v>964</v>
      </c>
      <c r="I368">
        <v>518</v>
      </c>
      <c r="J368">
        <v>502</v>
      </c>
      <c r="K368" t="s">
        <v>977</v>
      </c>
      <c r="L368" t="s">
        <v>965</v>
      </c>
    </row>
    <row r="369" spans="1:13" x14ac:dyDescent="0.35">
      <c r="A369">
        <v>104396</v>
      </c>
      <c r="B369">
        <v>3452</v>
      </c>
      <c r="C369" t="s">
        <v>602</v>
      </c>
      <c r="D369" t="s">
        <v>962</v>
      </c>
      <c r="E369" t="s">
        <v>978</v>
      </c>
      <c r="F369">
        <v>6221</v>
      </c>
      <c r="G369">
        <v>219789</v>
      </c>
      <c r="H369" t="s">
        <v>964</v>
      </c>
      <c r="I369">
        <v>517</v>
      </c>
      <c r="J369">
        <v>501</v>
      </c>
      <c r="K369" t="s">
        <v>979</v>
      </c>
      <c r="L369" t="s">
        <v>980</v>
      </c>
    </row>
    <row r="370" spans="1:13" x14ac:dyDescent="0.35">
      <c r="A370">
        <v>104394</v>
      </c>
      <c r="B370">
        <v>3397</v>
      </c>
      <c r="C370" t="s">
        <v>602</v>
      </c>
      <c r="D370" t="s">
        <v>962</v>
      </c>
      <c r="E370" t="s">
        <v>981</v>
      </c>
      <c r="F370">
        <v>6131</v>
      </c>
      <c r="G370">
        <v>229267</v>
      </c>
      <c r="H370" t="s">
        <v>964</v>
      </c>
      <c r="I370">
        <v>515</v>
      </c>
      <c r="J370">
        <v>499</v>
      </c>
      <c r="K370" t="s">
        <v>977</v>
      </c>
      <c r="L370" t="s">
        <v>965</v>
      </c>
    </row>
    <row r="371" spans="1:13" x14ac:dyDescent="0.35">
      <c r="A371">
        <v>104388</v>
      </c>
      <c r="B371">
        <v>3395</v>
      </c>
      <c r="C371" t="s">
        <v>602</v>
      </c>
      <c r="D371" t="s">
        <v>962</v>
      </c>
      <c r="E371" t="s">
        <v>982</v>
      </c>
      <c r="F371">
        <v>5924</v>
      </c>
      <c r="G371">
        <v>229236</v>
      </c>
      <c r="H371" t="s">
        <v>964</v>
      </c>
      <c r="I371">
        <v>514</v>
      </c>
      <c r="J371">
        <v>498</v>
      </c>
      <c r="K371" t="s">
        <v>983</v>
      </c>
      <c r="L371" t="s">
        <v>965</v>
      </c>
      <c r="M371" t="s">
        <v>984</v>
      </c>
    </row>
    <row r="372" spans="1:13" x14ac:dyDescent="0.35">
      <c r="A372">
        <v>104393</v>
      </c>
      <c r="B372">
        <v>3394</v>
      </c>
      <c r="C372" t="s">
        <v>602</v>
      </c>
      <c r="D372" t="s">
        <v>962</v>
      </c>
      <c r="E372" t="s">
        <v>985</v>
      </c>
      <c r="F372">
        <v>5876</v>
      </c>
      <c r="G372">
        <v>229265</v>
      </c>
      <c r="H372" t="s">
        <v>964</v>
      </c>
      <c r="I372">
        <v>513</v>
      </c>
      <c r="J372">
        <v>497</v>
      </c>
      <c r="K372" t="s">
        <v>983</v>
      </c>
      <c r="L372" t="s">
        <v>965</v>
      </c>
      <c r="M372" t="s">
        <v>986</v>
      </c>
    </row>
    <row r="373" spans="1:13" x14ac:dyDescent="0.35">
      <c r="A373">
        <v>104389</v>
      </c>
      <c r="B373">
        <v>3380</v>
      </c>
      <c r="C373" t="s">
        <v>602</v>
      </c>
      <c r="D373" t="s">
        <v>962</v>
      </c>
      <c r="E373" t="s">
        <v>987</v>
      </c>
      <c r="F373">
        <v>5786</v>
      </c>
      <c r="G373">
        <v>229243</v>
      </c>
      <c r="H373" t="s">
        <v>964</v>
      </c>
      <c r="I373">
        <v>512</v>
      </c>
      <c r="J373">
        <v>496</v>
      </c>
      <c r="K373" t="s">
        <v>983</v>
      </c>
      <c r="L373" t="s">
        <v>980</v>
      </c>
      <c r="M373" t="s">
        <v>988</v>
      </c>
    </row>
    <row r="374" spans="1:13" x14ac:dyDescent="0.35">
      <c r="A374">
        <v>104386</v>
      </c>
      <c r="B374">
        <v>3379</v>
      </c>
      <c r="C374" t="s">
        <v>602</v>
      </c>
      <c r="D374" t="s">
        <v>962</v>
      </c>
      <c r="E374" t="s">
        <v>989</v>
      </c>
      <c r="F374">
        <v>6168</v>
      </c>
      <c r="G374">
        <v>229220</v>
      </c>
      <c r="H374" t="s">
        <v>964</v>
      </c>
      <c r="I374">
        <v>511</v>
      </c>
      <c r="J374">
        <v>495</v>
      </c>
      <c r="K374" t="s">
        <v>979</v>
      </c>
      <c r="L374" t="s">
        <v>980</v>
      </c>
      <c r="M374" t="s">
        <v>990</v>
      </c>
    </row>
    <row r="375" spans="1:13" x14ac:dyDescent="0.35">
      <c r="A375">
        <v>104385</v>
      </c>
      <c r="B375">
        <v>3378</v>
      </c>
      <c r="C375" t="s">
        <v>602</v>
      </c>
      <c r="D375" t="s">
        <v>962</v>
      </c>
      <c r="E375" t="s">
        <v>991</v>
      </c>
      <c r="F375">
        <v>5627</v>
      </c>
      <c r="G375">
        <v>229200</v>
      </c>
      <c r="H375" t="s">
        <v>964</v>
      </c>
      <c r="I375">
        <v>510</v>
      </c>
      <c r="J375">
        <v>494</v>
      </c>
      <c r="K375" t="s">
        <v>979</v>
      </c>
      <c r="L375" t="s">
        <v>965</v>
      </c>
      <c r="M375" t="s">
        <v>992</v>
      </c>
    </row>
    <row r="376" spans="1:13" x14ac:dyDescent="0.35">
      <c r="A376">
        <v>104383</v>
      </c>
      <c r="B376">
        <v>3291</v>
      </c>
      <c r="C376" t="s">
        <v>602</v>
      </c>
      <c r="D376" t="s">
        <v>962</v>
      </c>
      <c r="E376" t="s">
        <v>993</v>
      </c>
      <c r="F376">
        <v>5916</v>
      </c>
      <c r="G376">
        <v>229132</v>
      </c>
      <c r="H376" t="s">
        <v>964</v>
      </c>
      <c r="I376">
        <v>509</v>
      </c>
      <c r="J376">
        <v>493</v>
      </c>
      <c r="K376" t="s">
        <v>979</v>
      </c>
      <c r="L376" t="s">
        <v>965</v>
      </c>
      <c r="M376" t="s">
        <v>994</v>
      </c>
    </row>
    <row r="377" spans="1:13" x14ac:dyDescent="0.35">
      <c r="A377">
        <v>104379</v>
      </c>
      <c r="B377">
        <v>3178</v>
      </c>
      <c r="C377" t="s">
        <v>602</v>
      </c>
      <c r="D377" t="s">
        <v>962</v>
      </c>
      <c r="E377" t="s">
        <v>995</v>
      </c>
      <c r="F377">
        <v>5729</v>
      </c>
      <c r="G377">
        <v>229090</v>
      </c>
      <c r="H377" t="s">
        <v>964</v>
      </c>
      <c r="I377">
        <v>508</v>
      </c>
      <c r="J377">
        <v>492</v>
      </c>
      <c r="K377" t="s">
        <v>979</v>
      </c>
      <c r="L377" t="s">
        <v>965</v>
      </c>
      <c r="M377" t="s">
        <v>996</v>
      </c>
    </row>
    <row r="378" spans="1:13" x14ac:dyDescent="0.35">
      <c r="A378">
        <v>104375</v>
      </c>
      <c r="B378">
        <v>3173</v>
      </c>
      <c r="C378" t="s">
        <v>602</v>
      </c>
      <c r="D378" t="s">
        <v>962</v>
      </c>
      <c r="E378" t="s">
        <v>997</v>
      </c>
      <c r="F378">
        <v>5923</v>
      </c>
      <c r="G378">
        <v>229063</v>
      </c>
      <c r="H378" t="s">
        <v>964</v>
      </c>
      <c r="I378">
        <v>507</v>
      </c>
      <c r="J378">
        <v>491</v>
      </c>
      <c r="K378" t="s">
        <v>983</v>
      </c>
      <c r="L378" t="s">
        <v>965</v>
      </c>
      <c r="M378" t="s">
        <v>998</v>
      </c>
    </row>
    <row r="379" spans="1:13" x14ac:dyDescent="0.35">
      <c r="A379">
        <v>103682</v>
      </c>
      <c r="B379">
        <v>1204</v>
      </c>
      <c r="C379" t="s">
        <v>602</v>
      </c>
      <c r="D379" t="s">
        <v>962</v>
      </c>
      <c r="E379" t="s">
        <v>999</v>
      </c>
      <c r="F379">
        <v>4854</v>
      </c>
      <c r="G379">
        <v>223131</v>
      </c>
      <c r="H379" t="s">
        <v>964</v>
      </c>
      <c r="I379">
        <v>506</v>
      </c>
      <c r="J379">
        <v>490</v>
      </c>
      <c r="K379" t="s">
        <v>1000</v>
      </c>
      <c r="L379" t="s">
        <v>965</v>
      </c>
      <c r="M379" t="s">
        <v>1001</v>
      </c>
    </row>
    <row r="380" spans="1:13" x14ac:dyDescent="0.35">
      <c r="A380">
        <v>101562</v>
      </c>
      <c r="B380">
        <v>1155</v>
      </c>
      <c r="C380" t="s">
        <v>602</v>
      </c>
      <c r="D380" t="s">
        <v>962</v>
      </c>
      <c r="E380" t="s">
        <v>1002</v>
      </c>
      <c r="F380">
        <v>4269</v>
      </c>
      <c r="G380">
        <v>222130</v>
      </c>
      <c r="H380" t="s">
        <v>964</v>
      </c>
      <c r="I380">
        <v>505</v>
      </c>
      <c r="J380">
        <v>489</v>
      </c>
      <c r="K380" t="s">
        <v>979</v>
      </c>
      <c r="L380" t="s">
        <v>965</v>
      </c>
      <c r="M380" t="s">
        <v>1003</v>
      </c>
    </row>
    <row r="381" spans="1:13" x14ac:dyDescent="0.35">
      <c r="A381">
        <v>104152</v>
      </c>
      <c r="B381">
        <v>1245</v>
      </c>
      <c r="C381" t="s">
        <v>602</v>
      </c>
      <c r="D381" t="s">
        <v>962</v>
      </c>
      <c r="E381" t="s">
        <v>1004</v>
      </c>
      <c r="F381">
        <v>5246</v>
      </c>
      <c r="G381">
        <v>226570</v>
      </c>
      <c r="H381" t="s">
        <v>964</v>
      </c>
      <c r="I381">
        <v>504</v>
      </c>
      <c r="J381">
        <v>488</v>
      </c>
      <c r="K381" t="s">
        <v>979</v>
      </c>
      <c r="L381" t="s">
        <v>965</v>
      </c>
      <c r="M381" t="s">
        <v>1005</v>
      </c>
    </row>
    <row r="382" spans="1:13" x14ac:dyDescent="0.35">
      <c r="A382">
        <v>103734</v>
      </c>
      <c r="B382">
        <v>1214</v>
      </c>
      <c r="C382" t="s">
        <v>602</v>
      </c>
      <c r="D382" t="s">
        <v>962</v>
      </c>
      <c r="E382" t="s">
        <v>1006</v>
      </c>
      <c r="F382">
        <v>4894</v>
      </c>
      <c r="G382">
        <v>223255</v>
      </c>
      <c r="H382" t="s">
        <v>964</v>
      </c>
      <c r="I382">
        <v>503</v>
      </c>
      <c r="J382">
        <v>487</v>
      </c>
      <c r="K382" t="s">
        <v>1000</v>
      </c>
      <c r="L382" t="s">
        <v>965</v>
      </c>
      <c r="M382" t="s">
        <v>1007</v>
      </c>
    </row>
    <row r="383" spans="1:13" x14ac:dyDescent="0.35">
      <c r="A383">
        <v>101546</v>
      </c>
      <c r="B383">
        <v>1139</v>
      </c>
      <c r="C383" t="s">
        <v>602</v>
      </c>
      <c r="D383" t="s">
        <v>962</v>
      </c>
      <c r="E383" t="s">
        <v>1008</v>
      </c>
      <c r="F383">
        <v>3849</v>
      </c>
      <c r="G383">
        <v>221976</v>
      </c>
      <c r="H383" t="s">
        <v>964</v>
      </c>
      <c r="I383">
        <v>502</v>
      </c>
      <c r="J383">
        <v>486</v>
      </c>
      <c r="K383" t="s">
        <v>1000</v>
      </c>
      <c r="L383" t="s">
        <v>965</v>
      </c>
      <c r="M383" t="s">
        <v>1009</v>
      </c>
    </row>
    <row r="384" spans="1:13" x14ac:dyDescent="0.35">
      <c r="A384">
        <v>104147</v>
      </c>
      <c r="B384">
        <v>1244</v>
      </c>
      <c r="C384" t="s">
        <v>602</v>
      </c>
      <c r="D384" t="s">
        <v>962</v>
      </c>
      <c r="E384" t="s">
        <v>1010</v>
      </c>
      <c r="F384">
        <v>5241</v>
      </c>
      <c r="G384">
        <v>226553</v>
      </c>
      <c r="H384" t="s">
        <v>964</v>
      </c>
      <c r="I384">
        <v>501</v>
      </c>
      <c r="J384">
        <v>485</v>
      </c>
      <c r="K384" t="s">
        <v>979</v>
      </c>
      <c r="L384" t="s">
        <v>980</v>
      </c>
      <c r="M384" t="s">
        <v>1011</v>
      </c>
    </row>
    <row r="385" spans="1:13" x14ac:dyDescent="0.35">
      <c r="A385">
        <v>101403</v>
      </c>
      <c r="B385">
        <v>1023</v>
      </c>
      <c r="C385" t="s">
        <v>602</v>
      </c>
      <c r="D385" t="s">
        <v>962</v>
      </c>
      <c r="E385" t="s">
        <v>1012</v>
      </c>
      <c r="F385">
        <v>3522</v>
      </c>
      <c r="G385">
        <v>15036</v>
      </c>
      <c r="H385" t="s">
        <v>964</v>
      </c>
      <c r="I385">
        <v>500</v>
      </c>
      <c r="J385">
        <v>484</v>
      </c>
      <c r="K385" t="s">
        <v>1000</v>
      </c>
      <c r="L385" t="s">
        <v>965</v>
      </c>
      <c r="M385" t="s">
        <v>1013</v>
      </c>
    </row>
    <row r="386" spans="1:13" x14ac:dyDescent="0.35">
      <c r="A386">
        <v>101420</v>
      </c>
      <c r="B386">
        <v>1035</v>
      </c>
      <c r="C386" t="s">
        <v>602</v>
      </c>
      <c r="D386" t="s">
        <v>962</v>
      </c>
      <c r="E386" t="s">
        <v>1014</v>
      </c>
      <c r="F386">
        <v>3523</v>
      </c>
      <c r="G386">
        <v>220107</v>
      </c>
      <c r="H386" t="s">
        <v>964</v>
      </c>
      <c r="I386">
        <v>499</v>
      </c>
      <c r="J386">
        <v>483</v>
      </c>
      <c r="K386" t="s">
        <v>979</v>
      </c>
      <c r="L386" t="s">
        <v>980</v>
      </c>
      <c r="M386" t="s">
        <v>1015</v>
      </c>
    </row>
    <row r="387" spans="1:13" x14ac:dyDescent="0.35">
      <c r="A387">
        <v>101417</v>
      </c>
      <c r="B387">
        <v>1032</v>
      </c>
      <c r="C387" t="s">
        <v>602</v>
      </c>
      <c r="D387" t="s">
        <v>962</v>
      </c>
      <c r="E387" t="s">
        <v>1016</v>
      </c>
      <c r="F387">
        <v>3511</v>
      </c>
      <c r="G387">
        <v>220106</v>
      </c>
      <c r="H387" t="s">
        <v>964</v>
      </c>
      <c r="I387">
        <v>498</v>
      </c>
      <c r="J387">
        <v>482</v>
      </c>
      <c r="K387" t="s">
        <v>1000</v>
      </c>
      <c r="L387" t="s">
        <v>965</v>
      </c>
      <c r="M387" t="s">
        <v>1017</v>
      </c>
    </row>
    <row r="388" spans="1:13" x14ac:dyDescent="0.35">
      <c r="A388">
        <v>104335</v>
      </c>
      <c r="B388">
        <v>2651</v>
      </c>
      <c r="C388" t="s">
        <v>602</v>
      </c>
      <c r="D388" t="s">
        <v>962</v>
      </c>
      <c r="E388" t="s">
        <v>1018</v>
      </c>
      <c r="F388">
        <v>5751</v>
      </c>
      <c r="G388">
        <v>228531</v>
      </c>
      <c r="H388" t="s">
        <v>964</v>
      </c>
      <c r="I388">
        <v>497</v>
      </c>
      <c r="J388">
        <v>481</v>
      </c>
      <c r="K388" t="s">
        <v>979</v>
      </c>
      <c r="L388" t="s">
        <v>965</v>
      </c>
      <c r="M388" t="s">
        <v>1019</v>
      </c>
    </row>
    <row r="389" spans="1:13" x14ac:dyDescent="0.35">
      <c r="A389">
        <v>101452</v>
      </c>
      <c r="B389">
        <v>1058</v>
      </c>
      <c r="C389" t="s">
        <v>602</v>
      </c>
      <c r="D389" t="s">
        <v>962</v>
      </c>
      <c r="E389" t="s">
        <v>1020</v>
      </c>
      <c r="F389">
        <v>3516</v>
      </c>
      <c r="G389">
        <v>220721</v>
      </c>
      <c r="H389" t="s">
        <v>964</v>
      </c>
      <c r="I389">
        <v>496</v>
      </c>
      <c r="J389">
        <v>480</v>
      </c>
      <c r="K389" t="s">
        <v>1021</v>
      </c>
      <c r="L389" t="s">
        <v>965</v>
      </c>
      <c r="M389" t="s">
        <v>1022</v>
      </c>
    </row>
    <row r="390" spans="1:13" x14ac:dyDescent="0.35">
      <c r="A390">
        <v>101426</v>
      </c>
      <c r="B390">
        <v>1040</v>
      </c>
      <c r="C390" t="s">
        <v>602</v>
      </c>
      <c r="D390" t="s">
        <v>962</v>
      </c>
      <c r="E390" t="s">
        <v>1023</v>
      </c>
      <c r="F390">
        <v>3512</v>
      </c>
      <c r="G390">
        <v>220245</v>
      </c>
      <c r="H390" t="s">
        <v>964</v>
      </c>
      <c r="I390">
        <v>495</v>
      </c>
      <c r="J390">
        <v>479</v>
      </c>
      <c r="K390" t="s">
        <v>1000</v>
      </c>
      <c r="L390" t="s">
        <v>965</v>
      </c>
      <c r="M390" t="s">
        <v>1024</v>
      </c>
    </row>
    <row r="391" spans="1:13" x14ac:dyDescent="0.35">
      <c r="A391">
        <v>103572</v>
      </c>
      <c r="B391">
        <v>1198</v>
      </c>
      <c r="C391" t="s">
        <v>597</v>
      </c>
      <c r="D391" t="s">
        <v>962</v>
      </c>
      <c r="E391" t="s">
        <v>1025</v>
      </c>
      <c r="F391">
        <v>4577</v>
      </c>
      <c r="G391">
        <v>222968</v>
      </c>
      <c r="H391" t="s">
        <v>964</v>
      </c>
      <c r="I391">
        <v>494</v>
      </c>
      <c r="J391">
        <v>478</v>
      </c>
      <c r="K391" t="s">
        <v>979</v>
      </c>
      <c r="L391" t="s">
        <v>965</v>
      </c>
      <c r="M391" t="s">
        <v>1026</v>
      </c>
    </row>
    <row r="392" spans="1:13" x14ac:dyDescent="0.35">
      <c r="A392">
        <v>104266</v>
      </c>
      <c r="B392">
        <v>1281</v>
      </c>
      <c r="C392" t="s">
        <v>602</v>
      </c>
      <c r="D392" t="s">
        <v>962</v>
      </c>
      <c r="E392" t="s">
        <v>1027</v>
      </c>
      <c r="F392">
        <v>5694</v>
      </c>
      <c r="G392">
        <v>227578</v>
      </c>
      <c r="H392" t="s">
        <v>964</v>
      </c>
      <c r="I392">
        <v>493</v>
      </c>
      <c r="J392">
        <v>477</v>
      </c>
      <c r="K392" t="s">
        <v>979</v>
      </c>
      <c r="L392" t="s">
        <v>980</v>
      </c>
      <c r="M392" t="s">
        <v>1028</v>
      </c>
    </row>
    <row r="393" spans="1:13" x14ac:dyDescent="0.35">
      <c r="A393">
        <v>104214</v>
      </c>
      <c r="B393">
        <v>1260</v>
      </c>
      <c r="C393" t="s">
        <v>597</v>
      </c>
      <c r="D393" t="s">
        <v>962</v>
      </c>
      <c r="E393" t="s">
        <v>1029</v>
      </c>
      <c r="F393">
        <v>5462</v>
      </c>
      <c r="G393">
        <v>227232</v>
      </c>
      <c r="I393">
        <v>492</v>
      </c>
      <c r="J393">
        <v>476</v>
      </c>
      <c r="M393" t="s">
        <v>1030</v>
      </c>
    </row>
    <row r="394" spans="1:13" x14ac:dyDescent="0.35">
      <c r="A394">
        <v>101485</v>
      </c>
      <c r="B394">
        <v>1085</v>
      </c>
      <c r="C394" t="s">
        <v>602</v>
      </c>
      <c r="D394" t="s">
        <v>962</v>
      </c>
      <c r="E394" t="s">
        <v>1031</v>
      </c>
      <c r="F394">
        <v>3650</v>
      </c>
      <c r="G394">
        <v>221403</v>
      </c>
      <c r="H394" t="s">
        <v>964</v>
      </c>
      <c r="I394">
        <v>491</v>
      </c>
      <c r="J394">
        <v>475</v>
      </c>
      <c r="K394" t="s">
        <v>979</v>
      </c>
      <c r="L394" t="s">
        <v>980</v>
      </c>
      <c r="M394" t="s">
        <v>1032</v>
      </c>
    </row>
    <row r="395" spans="1:13" x14ac:dyDescent="0.35">
      <c r="A395">
        <v>101462</v>
      </c>
      <c r="B395">
        <v>1063</v>
      </c>
      <c r="C395" t="s">
        <v>597</v>
      </c>
      <c r="D395" t="s">
        <v>962</v>
      </c>
      <c r="E395" t="s">
        <v>1033</v>
      </c>
      <c r="F395">
        <v>3526</v>
      </c>
      <c r="G395">
        <v>220960</v>
      </c>
      <c r="H395" t="s">
        <v>964</v>
      </c>
      <c r="I395">
        <v>490</v>
      </c>
      <c r="J395">
        <v>474</v>
      </c>
      <c r="K395" t="s">
        <v>979</v>
      </c>
      <c r="L395" t="s">
        <v>980</v>
      </c>
      <c r="M395" t="s">
        <v>1034</v>
      </c>
    </row>
    <row r="396" spans="1:13" x14ac:dyDescent="0.35">
      <c r="A396">
        <v>101572</v>
      </c>
      <c r="B396">
        <v>1165</v>
      </c>
      <c r="C396" t="s">
        <v>602</v>
      </c>
      <c r="D396" t="s">
        <v>962</v>
      </c>
      <c r="E396" t="s">
        <v>1035</v>
      </c>
      <c r="F396">
        <v>3955</v>
      </c>
      <c r="G396">
        <v>222246</v>
      </c>
      <c r="H396" t="s">
        <v>964</v>
      </c>
      <c r="I396">
        <v>489</v>
      </c>
      <c r="J396">
        <v>473</v>
      </c>
      <c r="K396" t="s">
        <v>979</v>
      </c>
      <c r="L396" t="s">
        <v>980</v>
      </c>
      <c r="M396" t="s">
        <v>1036</v>
      </c>
    </row>
    <row r="397" spans="1:13" x14ac:dyDescent="0.35">
      <c r="A397">
        <v>101475</v>
      </c>
      <c r="B397">
        <v>1076</v>
      </c>
      <c r="C397" t="s">
        <v>602</v>
      </c>
      <c r="D397" t="s">
        <v>962</v>
      </c>
      <c r="E397" t="s">
        <v>1037</v>
      </c>
      <c r="F397">
        <v>3552</v>
      </c>
      <c r="G397">
        <v>221228</v>
      </c>
      <c r="H397" t="s">
        <v>964</v>
      </c>
      <c r="I397">
        <v>488</v>
      </c>
      <c r="J397">
        <v>472</v>
      </c>
      <c r="K397" t="s">
        <v>979</v>
      </c>
      <c r="L397" t="s">
        <v>980</v>
      </c>
      <c r="M397" t="s">
        <v>1038</v>
      </c>
    </row>
    <row r="398" spans="1:13" x14ac:dyDescent="0.35">
      <c r="A398">
        <v>104028</v>
      </c>
      <c r="B398">
        <v>1235</v>
      </c>
      <c r="C398" t="s">
        <v>602</v>
      </c>
      <c r="D398" t="s">
        <v>962</v>
      </c>
      <c r="E398" t="s">
        <v>1039</v>
      </c>
      <c r="F398">
        <v>4824</v>
      </c>
      <c r="G398">
        <v>226115</v>
      </c>
      <c r="H398" t="s">
        <v>964</v>
      </c>
      <c r="I398">
        <v>487</v>
      </c>
      <c r="J398">
        <v>471</v>
      </c>
      <c r="K398" t="s">
        <v>979</v>
      </c>
      <c r="L398" t="s">
        <v>980</v>
      </c>
      <c r="M398" t="s">
        <v>1040</v>
      </c>
    </row>
    <row r="399" spans="1:13" x14ac:dyDescent="0.35">
      <c r="A399">
        <v>104245</v>
      </c>
      <c r="B399">
        <v>1270</v>
      </c>
      <c r="C399" t="s">
        <v>602</v>
      </c>
      <c r="D399" t="s">
        <v>962</v>
      </c>
      <c r="E399" t="s">
        <v>1041</v>
      </c>
      <c r="F399">
        <v>5601</v>
      </c>
      <c r="G399">
        <v>227404</v>
      </c>
      <c r="H399" t="s">
        <v>964</v>
      </c>
      <c r="I399">
        <v>486</v>
      </c>
      <c r="J399">
        <v>470</v>
      </c>
      <c r="K399" t="s">
        <v>1042</v>
      </c>
      <c r="L399" t="s">
        <v>980</v>
      </c>
      <c r="M399" t="s">
        <v>1043</v>
      </c>
    </row>
    <row r="400" spans="1:13" x14ac:dyDescent="0.35">
      <c r="A400">
        <v>104215</v>
      </c>
      <c r="B400">
        <v>1261</v>
      </c>
      <c r="C400" t="s">
        <v>602</v>
      </c>
      <c r="D400" t="s">
        <v>962</v>
      </c>
      <c r="E400" t="s">
        <v>1044</v>
      </c>
      <c r="F400">
        <v>5460</v>
      </c>
      <c r="G400">
        <v>227230</v>
      </c>
      <c r="H400" t="s">
        <v>964</v>
      </c>
      <c r="I400">
        <v>485</v>
      </c>
      <c r="J400">
        <v>469</v>
      </c>
      <c r="K400" t="s">
        <v>979</v>
      </c>
      <c r="L400" t="s">
        <v>980</v>
      </c>
      <c r="M400" t="s">
        <v>1045</v>
      </c>
    </row>
    <row r="401" spans="1:13" x14ac:dyDescent="0.35">
      <c r="A401">
        <v>104207</v>
      </c>
      <c r="B401">
        <v>1258</v>
      </c>
      <c r="C401" t="s">
        <v>602</v>
      </c>
      <c r="D401" t="s">
        <v>962</v>
      </c>
      <c r="E401" t="s">
        <v>1046</v>
      </c>
      <c r="F401">
        <v>5304</v>
      </c>
      <c r="G401">
        <v>226764</v>
      </c>
      <c r="H401" t="s">
        <v>964</v>
      </c>
      <c r="I401">
        <v>484</v>
      </c>
      <c r="J401">
        <v>468</v>
      </c>
      <c r="K401" t="s">
        <v>979</v>
      </c>
      <c r="L401" t="s">
        <v>980</v>
      </c>
      <c r="M401" t="s">
        <v>1047</v>
      </c>
    </row>
    <row r="402" spans="1:13" x14ac:dyDescent="0.35">
      <c r="A402">
        <v>101481</v>
      </c>
      <c r="B402">
        <v>1081</v>
      </c>
      <c r="C402" t="s">
        <v>602</v>
      </c>
      <c r="D402" t="s">
        <v>962</v>
      </c>
      <c r="E402" t="s">
        <v>1048</v>
      </c>
      <c r="F402">
        <v>3655</v>
      </c>
      <c r="G402">
        <v>221421</v>
      </c>
      <c r="H402" t="s">
        <v>964</v>
      </c>
      <c r="I402">
        <v>482</v>
      </c>
      <c r="J402">
        <v>466</v>
      </c>
      <c r="K402" t="s">
        <v>979</v>
      </c>
      <c r="L402" t="s">
        <v>980</v>
      </c>
      <c r="M402" t="s">
        <v>1049</v>
      </c>
    </row>
    <row r="403" spans="1:13" x14ac:dyDescent="0.35">
      <c r="A403">
        <v>101402</v>
      </c>
      <c r="B403">
        <v>1022</v>
      </c>
      <c r="C403" t="s">
        <v>602</v>
      </c>
      <c r="D403" t="s">
        <v>962</v>
      </c>
      <c r="E403" t="s">
        <v>1050</v>
      </c>
      <c r="F403">
        <v>3508</v>
      </c>
      <c r="G403">
        <v>15035</v>
      </c>
      <c r="H403" t="s">
        <v>964</v>
      </c>
      <c r="I403">
        <v>480</v>
      </c>
      <c r="J403">
        <v>464</v>
      </c>
      <c r="K403" t="s">
        <v>1051</v>
      </c>
      <c r="L403" t="s">
        <v>965</v>
      </c>
      <c r="M403" t="s">
        <v>1052</v>
      </c>
    </row>
    <row r="404" spans="1:13" x14ac:dyDescent="0.35">
      <c r="A404">
        <v>101596</v>
      </c>
      <c r="B404">
        <v>1189</v>
      </c>
      <c r="C404" t="s">
        <v>602</v>
      </c>
      <c r="D404" t="s">
        <v>962</v>
      </c>
      <c r="E404" t="s">
        <v>1053</v>
      </c>
      <c r="F404">
        <v>4635</v>
      </c>
      <c r="G404">
        <v>222804</v>
      </c>
      <c r="H404" t="s">
        <v>964</v>
      </c>
      <c r="I404">
        <v>475</v>
      </c>
      <c r="J404">
        <v>459</v>
      </c>
      <c r="K404" t="s">
        <v>1000</v>
      </c>
      <c r="L404" t="s">
        <v>965</v>
      </c>
      <c r="M404" t="s">
        <v>1054</v>
      </c>
    </row>
    <row r="405" spans="1:13" x14ac:dyDescent="0.35">
      <c r="A405">
        <v>103696</v>
      </c>
      <c r="B405">
        <v>1207</v>
      </c>
      <c r="C405" t="s">
        <v>602</v>
      </c>
      <c r="D405" t="s">
        <v>962</v>
      </c>
      <c r="E405" t="s">
        <v>1055</v>
      </c>
      <c r="F405">
        <v>4844</v>
      </c>
      <c r="G405">
        <v>223185</v>
      </c>
      <c r="H405" t="s">
        <v>964</v>
      </c>
      <c r="I405">
        <v>466</v>
      </c>
      <c r="J405">
        <v>450</v>
      </c>
      <c r="K405" t="s">
        <v>979</v>
      </c>
      <c r="L405" t="s">
        <v>965</v>
      </c>
      <c r="M405" t="s">
        <v>1056</v>
      </c>
    </row>
    <row r="406" spans="1:13" x14ac:dyDescent="0.35">
      <c r="A406">
        <v>101512</v>
      </c>
      <c r="B406">
        <v>1107</v>
      </c>
      <c r="C406" t="s">
        <v>602</v>
      </c>
      <c r="D406" t="s">
        <v>962</v>
      </c>
      <c r="E406" t="s">
        <v>1057</v>
      </c>
      <c r="F406">
        <v>3769</v>
      </c>
      <c r="G406">
        <v>221671</v>
      </c>
      <c r="H406" t="s">
        <v>964</v>
      </c>
      <c r="I406">
        <v>459</v>
      </c>
      <c r="J406">
        <v>443</v>
      </c>
      <c r="K406" t="s">
        <v>1000</v>
      </c>
      <c r="L406" t="s">
        <v>965</v>
      </c>
      <c r="M406" t="s">
        <v>1058</v>
      </c>
    </row>
    <row r="407" spans="1:13" x14ac:dyDescent="0.35">
      <c r="A407">
        <v>101483</v>
      </c>
      <c r="B407">
        <v>1083</v>
      </c>
      <c r="C407" t="s">
        <v>602</v>
      </c>
      <c r="D407" t="s">
        <v>962</v>
      </c>
      <c r="E407" t="s">
        <v>1059</v>
      </c>
      <c r="F407">
        <v>3576</v>
      </c>
      <c r="G407">
        <v>221306</v>
      </c>
      <c r="H407" t="s">
        <v>964</v>
      </c>
      <c r="I407">
        <v>449</v>
      </c>
      <c r="J407">
        <v>433</v>
      </c>
      <c r="K407" t="s">
        <v>1051</v>
      </c>
      <c r="L407" t="s">
        <v>980</v>
      </c>
      <c r="M407" t="s">
        <v>1060</v>
      </c>
    </row>
    <row r="408" spans="1:13" x14ac:dyDescent="0.35">
      <c r="A408">
        <v>104497</v>
      </c>
      <c r="B408">
        <v>3560</v>
      </c>
      <c r="C408" t="s">
        <v>602</v>
      </c>
      <c r="D408" t="s">
        <v>1061</v>
      </c>
      <c r="E408" t="s">
        <v>1062</v>
      </c>
      <c r="F408">
        <v>7506</v>
      </c>
      <c r="G408">
        <v>229718</v>
      </c>
      <c r="H408" t="s">
        <v>964</v>
      </c>
      <c r="I408">
        <v>446</v>
      </c>
      <c r="J408">
        <v>440</v>
      </c>
      <c r="L408" t="s">
        <v>980</v>
      </c>
      <c r="M408" t="s">
        <v>1063</v>
      </c>
    </row>
    <row r="409" spans="1:13" x14ac:dyDescent="0.35">
      <c r="A409">
        <v>0</v>
      </c>
      <c r="B409">
        <v>3564</v>
      </c>
      <c r="C409" t="s">
        <v>602</v>
      </c>
      <c r="D409" t="s">
        <v>1061</v>
      </c>
      <c r="E409" t="s">
        <v>1064</v>
      </c>
      <c r="G409">
        <v>0</v>
      </c>
      <c r="H409" t="s">
        <v>964</v>
      </c>
      <c r="I409">
        <v>445</v>
      </c>
      <c r="J409">
        <v>439</v>
      </c>
      <c r="K409" t="s">
        <v>1065</v>
      </c>
      <c r="L409" t="s">
        <v>965</v>
      </c>
      <c r="M409" t="s">
        <v>1064</v>
      </c>
    </row>
    <row r="410" spans="1:13" x14ac:dyDescent="0.35">
      <c r="A410">
        <v>104486</v>
      </c>
      <c r="B410">
        <v>3516</v>
      </c>
      <c r="C410" t="s">
        <v>602</v>
      </c>
      <c r="D410" t="s">
        <v>1066</v>
      </c>
      <c r="E410" t="s">
        <v>1067</v>
      </c>
      <c r="F410">
        <v>4167473</v>
      </c>
      <c r="G410">
        <v>229631</v>
      </c>
      <c r="H410" t="s">
        <v>964</v>
      </c>
      <c r="I410">
        <v>444</v>
      </c>
      <c r="J410">
        <v>438</v>
      </c>
      <c r="K410" t="s">
        <v>1068</v>
      </c>
      <c r="L410" t="s">
        <v>965</v>
      </c>
      <c r="M410" t="s">
        <v>1069</v>
      </c>
    </row>
    <row r="411" spans="1:13" x14ac:dyDescent="0.35">
      <c r="A411">
        <v>104487</v>
      </c>
      <c r="B411">
        <v>3517</v>
      </c>
      <c r="C411" t="s">
        <v>602</v>
      </c>
      <c r="D411" t="s">
        <v>1066</v>
      </c>
      <c r="E411" t="s">
        <v>1070</v>
      </c>
      <c r="F411">
        <v>4797486</v>
      </c>
      <c r="G411">
        <v>229630</v>
      </c>
      <c r="H411" t="s">
        <v>964</v>
      </c>
      <c r="I411">
        <v>443</v>
      </c>
      <c r="J411">
        <v>437</v>
      </c>
      <c r="K411" t="s">
        <v>1065</v>
      </c>
      <c r="L411" t="s">
        <v>965</v>
      </c>
      <c r="M411" t="s">
        <v>1071</v>
      </c>
    </row>
    <row r="412" spans="1:13" x14ac:dyDescent="0.35">
      <c r="A412">
        <v>0</v>
      </c>
      <c r="B412">
        <v>3530</v>
      </c>
      <c r="C412" t="s">
        <v>602</v>
      </c>
      <c r="D412" t="s">
        <v>1061</v>
      </c>
      <c r="E412" t="s">
        <v>1072</v>
      </c>
      <c r="F412">
        <v>4797501</v>
      </c>
      <c r="G412">
        <v>0</v>
      </c>
      <c r="I412">
        <v>442</v>
      </c>
      <c r="J412">
        <v>436</v>
      </c>
      <c r="L412" t="s">
        <v>965</v>
      </c>
      <c r="M412" t="s">
        <v>1073</v>
      </c>
    </row>
    <row r="413" spans="1:13" x14ac:dyDescent="0.35">
      <c r="A413">
        <v>101490</v>
      </c>
      <c r="B413">
        <v>1089</v>
      </c>
      <c r="C413" t="s">
        <v>602</v>
      </c>
      <c r="D413" t="s">
        <v>962</v>
      </c>
      <c r="E413" t="s">
        <v>1074</v>
      </c>
      <c r="F413">
        <v>3651</v>
      </c>
      <c r="G413">
        <v>221400</v>
      </c>
      <c r="H413" t="s">
        <v>964</v>
      </c>
      <c r="I413">
        <v>442</v>
      </c>
      <c r="J413">
        <v>426</v>
      </c>
      <c r="K413" t="s">
        <v>1021</v>
      </c>
      <c r="L413" t="s">
        <v>965</v>
      </c>
      <c r="M413" t="s">
        <v>1075</v>
      </c>
    </row>
    <row r="414" spans="1:13" x14ac:dyDescent="0.35">
      <c r="A414">
        <v>0</v>
      </c>
      <c r="B414">
        <v>3504</v>
      </c>
      <c r="C414" t="s">
        <v>602</v>
      </c>
      <c r="D414" t="s">
        <v>1066</v>
      </c>
      <c r="E414" t="s">
        <v>1076</v>
      </c>
      <c r="F414">
        <v>4797492</v>
      </c>
      <c r="G414">
        <v>229554</v>
      </c>
      <c r="H414" t="s">
        <v>964</v>
      </c>
      <c r="I414">
        <v>441</v>
      </c>
      <c r="J414">
        <v>435</v>
      </c>
      <c r="K414" t="s">
        <v>1077</v>
      </c>
      <c r="L414" t="s">
        <v>965</v>
      </c>
      <c r="M414" t="s">
        <v>1078</v>
      </c>
    </row>
    <row r="415" spans="1:13" x14ac:dyDescent="0.35">
      <c r="A415">
        <v>104425</v>
      </c>
      <c r="B415">
        <v>3501</v>
      </c>
      <c r="C415" t="s">
        <v>602</v>
      </c>
      <c r="D415" t="s">
        <v>1066</v>
      </c>
      <c r="E415" t="s">
        <v>1079</v>
      </c>
      <c r="F415">
        <v>4797491</v>
      </c>
      <c r="G415">
        <v>229518</v>
      </c>
      <c r="H415" t="s">
        <v>964</v>
      </c>
      <c r="I415">
        <v>439</v>
      </c>
      <c r="J415">
        <v>433</v>
      </c>
      <c r="K415" t="s">
        <v>1077</v>
      </c>
      <c r="L415" t="s">
        <v>965</v>
      </c>
      <c r="M415" t="s">
        <v>1080</v>
      </c>
    </row>
    <row r="416" spans="1:13" x14ac:dyDescent="0.35">
      <c r="A416">
        <v>104424</v>
      </c>
      <c r="B416">
        <v>3498</v>
      </c>
      <c r="C416" t="s">
        <v>602</v>
      </c>
      <c r="D416" t="s">
        <v>1066</v>
      </c>
      <c r="E416" t="s">
        <v>1081</v>
      </c>
      <c r="F416">
        <v>4797490</v>
      </c>
      <c r="G416">
        <v>229515</v>
      </c>
      <c r="H416" t="s">
        <v>964</v>
      </c>
      <c r="I416">
        <v>438</v>
      </c>
      <c r="J416">
        <v>432</v>
      </c>
      <c r="K416" t="s">
        <v>1065</v>
      </c>
      <c r="L416" t="s">
        <v>965</v>
      </c>
      <c r="M416" t="s">
        <v>1082</v>
      </c>
    </row>
    <row r="417" spans="1:13" x14ac:dyDescent="0.35">
      <c r="A417">
        <v>101590</v>
      </c>
      <c r="B417">
        <v>1183</v>
      </c>
      <c r="C417" t="s">
        <v>602</v>
      </c>
      <c r="D417" t="s">
        <v>962</v>
      </c>
      <c r="E417" t="s">
        <v>1083</v>
      </c>
      <c r="F417">
        <v>4562</v>
      </c>
      <c r="G417">
        <v>222688</v>
      </c>
      <c r="H417" t="s">
        <v>964</v>
      </c>
      <c r="I417">
        <v>437</v>
      </c>
      <c r="J417">
        <v>421</v>
      </c>
      <c r="K417" t="s">
        <v>1000</v>
      </c>
      <c r="L417" t="s">
        <v>965</v>
      </c>
      <c r="M417" t="s">
        <v>1084</v>
      </c>
    </row>
    <row r="418" spans="1:13" x14ac:dyDescent="0.35">
      <c r="A418">
        <v>104423</v>
      </c>
      <c r="B418">
        <v>3476</v>
      </c>
      <c r="C418" t="s">
        <v>602</v>
      </c>
      <c r="D418" t="s">
        <v>1066</v>
      </c>
      <c r="E418" t="s">
        <v>1085</v>
      </c>
      <c r="F418">
        <v>4797482</v>
      </c>
      <c r="G418">
        <v>229459</v>
      </c>
      <c r="H418" t="s">
        <v>964</v>
      </c>
      <c r="I418">
        <v>437</v>
      </c>
      <c r="J418">
        <v>431</v>
      </c>
      <c r="K418" t="s">
        <v>1065</v>
      </c>
      <c r="L418" t="s">
        <v>965</v>
      </c>
      <c r="M418" t="s">
        <v>1086</v>
      </c>
    </row>
    <row r="419" spans="1:13" x14ac:dyDescent="0.35">
      <c r="A419">
        <v>104426</v>
      </c>
      <c r="B419">
        <v>3486</v>
      </c>
      <c r="C419" t="s">
        <v>602</v>
      </c>
      <c r="D419" t="s">
        <v>1066</v>
      </c>
      <c r="E419" t="s">
        <v>1087</v>
      </c>
      <c r="F419">
        <v>4797475</v>
      </c>
      <c r="G419">
        <v>229484</v>
      </c>
      <c r="H419" t="s">
        <v>964</v>
      </c>
      <c r="I419">
        <v>436</v>
      </c>
      <c r="J419">
        <v>430</v>
      </c>
      <c r="K419" t="s">
        <v>1065</v>
      </c>
      <c r="L419" t="s">
        <v>965</v>
      </c>
      <c r="M419" t="s">
        <v>1088</v>
      </c>
    </row>
    <row r="420" spans="1:13" x14ac:dyDescent="0.35">
      <c r="A420">
        <v>104427</v>
      </c>
      <c r="B420">
        <v>3473</v>
      </c>
      <c r="C420" t="s">
        <v>602</v>
      </c>
      <c r="D420" t="s">
        <v>1066</v>
      </c>
      <c r="E420" t="s">
        <v>1089</v>
      </c>
      <c r="F420">
        <v>4797470</v>
      </c>
      <c r="G420">
        <v>229439</v>
      </c>
      <c r="H420" t="s">
        <v>964</v>
      </c>
      <c r="I420">
        <v>435</v>
      </c>
      <c r="J420">
        <v>429</v>
      </c>
      <c r="K420" t="s">
        <v>1065</v>
      </c>
      <c r="L420" t="s">
        <v>965</v>
      </c>
      <c r="M420" t="s">
        <v>1090</v>
      </c>
    </row>
    <row r="421" spans="1:13" x14ac:dyDescent="0.35">
      <c r="A421">
        <v>104398</v>
      </c>
      <c r="B421">
        <v>3457</v>
      </c>
      <c r="C421" t="s">
        <v>602</v>
      </c>
      <c r="D421" t="s">
        <v>1066</v>
      </c>
      <c r="E421" t="s">
        <v>1091</v>
      </c>
      <c r="F421">
        <v>4167462</v>
      </c>
      <c r="G421">
        <v>229379</v>
      </c>
      <c r="H421" t="s">
        <v>964</v>
      </c>
      <c r="I421">
        <v>434</v>
      </c>
      <c r="J421">
        <v>428</v>
      </c>
      <c r="K421" t="s">
        <v>1092</v>
      </c>
      <c r="L421" t="s">
        <v>965</v>
      </c>
      <c r="M421" t="s">
        <v>1093</v>
      </c>
    </row>
    <row r="422" spans="1:13" x14ac:dyDescent="0.35">
      <c r="A422">
        <v>104442</v>
      </c>
      <c r="B422">
        <v>3471</v>
      </c>
      <c r="C422" t="s">
        <v>602</v>
      </c>
      <c r="D422" t="s">
        <v>1066</v>
      </c>
      <c r="E422" t="s">
        <v>1094</v>
      </c>
      <c r="F422">
        <v>4797483</v>
      </c>
      <c r="G422">
        <v>229428</v>
      </c>
      <c r="H422" t="s">
        <v>964</v>
      </c>
      <c r="I422">
        <v>433</v>
      </c>
      <c r="J422">
        <v>427</v>
      </c>
      <c r="K422" t="s">
        <v>1065</v>
      </c>
      <c r="L422" t="s">
        <v>965</v>
      </c>
      <c r="M422" t="s">
        <v>1095</v>
      </c>
    </row>
    <row r="423" spans="1:13" x14ac:dyDescent="0.35">
      <c r="A423">
        <v>104421</v>
      </c>
      <c r="B423">
        <v>3470</v>
      </c>
      <c r="C423" t="s">
        <v>602</v>
      </c>
      <c r="D423" t="s">
        <v>1066</v>
      </c>
      <c r="E423" t="s">
        <v>1096</v>
      </c>
      <c r="F423">
        <v>4797485</v>
      </c>
      <c r="G423">
        <v>229427</v>
      </c>
      <c r="H423" t="s">
        <v>964</v>
      </c>
      <c r="I423">
        <v>432</v>
      </c>
      <c r="J423">
        <v>426</v>
      </c>
      <c r="K423" t="s">
        <v>1077</v>
      </c>
      <c r="L423" t="s">
        <v>965</v>
      </c>
      <c r="M423" t="s">
        <v>1097</v>
      </c>
    </row>
    <row r="424" spans="1:13" x14ac:dyDescent="0.35">
      <c r="A424">
        <v>104459</v>
      </c>
      <c r="B424">
        <v>3468</v>
      </c>
      <c r="C424" t="s">
        <v>602</v>
      </c>
      <c r="D424" t="s">
        <v>1066</v>
      </c>
      <c r="E424" t="s">
        <v>1098</v>
      </c>
      <c r="F424">
        <v>4797476</v>
      </c>
      <c r="G424">
        <v>229420</v>
      </c>
      <c r="H424" t="s">
        <v>964</v>
      </c>
      <c r="I424">
        <v>431</v>
      </c>
      <c r="J424">
        <v>425</v>
      </c>
      <c r="K424" t="s">
        <v>1065</v>
      </c>
      <c r="L424" t="s">
        <v>965</v>
      </c>
      <c r="M424" t="s">
        <v>1099</v>
      </c>
    </row>
    <row r="425" spans="1:13" x14ac:dyDescent="0.35">
      <c r="A425">
        <v>104404</v>
      </c>
      <c r="B425">
        <v>3463</v>
      </c>
      <c r="C425" t="s">
        <v>602</v>
      </c>
      <c r="D425" t="s">
        <v>1066</v>
      </c>
      <c r="E425" t="s">
        <v>1100</v>
      </c>
      <c r="F425">
        <v>4166687</v>
      </c>
      <c r="G425">
        <v>229399</v>
      </c>
      <c r="H425" t="s">
        <v>964</v>
      </c>
      <c r="I425">
        <v>430</v>
      </c>
      <c r="J425">
        <v>424</v>
      </c>
      <c r="K425" t="s">
        <v>1068</v>
      </c>
      <c r="L425" t="s">
        <v>965</v>
      </c>
      <c r="M425" t="s">
        <v>1101</v>
      </c>
    </row>
    <row r="426" spans="1:13" x14ac:dyDescent="0.35">
      <c r="A426">
        <v>0</v>
      </c>
      <c r="B426">
        <v>3450</v>
      </c>
      <c r="C426" t="s">
        <v>602</v>
      </c>
      <c r="D426" t="s">
        <v>1066</v>
      </c>
      <c r="E426" t="s">
        <v>1102</v>
      </c>
      <c r="F426">
        <v>4799002</v>
      </c>
      <c r="G426">
        <v>0</v>
      </c>
      <c r="H426" t="s">
        <v>964</v>
      </c>
      <c r="I426">
        <v>429</v>
      </c>
      <c r="J426">
        <v>423</v>
      </c>
      <c r="K426" t="s">
        <v>1065</v>
      </c>
      <c r="L426" t="s">
        <v>965</v>
      </c>
    </row>
    <row r="427" spans="1:13" x14ac:dyDescent="0.35">
      <c r="A427">
        <v>104391</v>
      </c>
      <c r="B427">
        <v>3381</v>
      </c>
      <c r="C427" t="s">
        <v>602</v>
      </c>
      <c r="D427" t="s">
        <v>1066</v>
      </c>
      <c r="E427" t="s">
        <v>1103</v>
      </c>
      <c r="F427">
        <v>4167474</v>
      </c>
      <c r="G427">
        <v>229249</v>
      </c>
      <c r="H427" t="s">
        <v>964</v>
      </c>
      <c r="I427">
        <v>428</v>
      </c>
      <c r="J427">
        <v>422</v>
      </c>
      <c r="K427" t="s">
        <v>1104</v>
      </c>
      <c r="L427" t="s">
        <v>965</v>
      </c>
      <c r="M427" t="s">
        <v>1105</v>
      </c>
    </row>
    <row r="428" spans="1:13" x14ac:dyDescent="0.35">
      <c r="A428">
        <v>104462</v>
      </c>
      <c r="B428">
        <v>3447</v>
      </c>
      <c r="C428" t="s">
        <v>602</v>
      </c>
      <c r="D428" t="s">
        <v>1066</v>
      </c>
      <c r="E428" t="s">
        <v>1106</v>
      </c>
      <c r="F428">
        <v>4797469</v>
      </c>
      <c r="H428" t="s">
        <v>964</v>
      </c>
      <c r="I428">
        <v>427</v>
      </c>
      <c r="J428">
        <v>421</v>
      </c>
      <c r="K428" t="s">
        <v>1065</v>
      </c>
      <c r="L428" t="s">
        <v>965</v>
      </c>
      <c r="M428" t="s">
        <v>1107</v>
      </c>
    </row>
    <row r="429" spans="1:13" x14ac:dyDescent="0.35">
      <c r="A429">
        <v>104327</v>
      </c>
      <c r="B429">
        <v>1702</v>
      </c>
      <c r="C429" t="s">
        <v>602</v>
      </c>
      <c r="D429" t="s">
        <v>1066</v>
      </c>
      <c r="E429" t="s">
        <v>1108</v>
      </c>
      <c r="F429">
        <v>4166598</v>
      </c>
      <c r="G429">
        <v>228373</v>
      </c>
      <c r="H429" t="s">
        <v>964</v>
      </c>
      <c r="I429">
        <v>426</v>
      </c>
      <c r="J429">
        <v>420</v>
      </c>
      <c r="K429" t="s">
        <v>1068</v>
      </c>
      <c r="L429" t="s">
        <v>965</v>
      </c>
      <c r="M429" t="s">
        <v>1109</v>
      </c>
    </row>
    <row r="430" spans="1:13" x14ac:dyDescent="0.35">
      <c r="A430">
        <v>101557</v>
      </c>
      <c r="B430">
        <v>1150</v>
      </c>
      <c r="C430" t="s">
        <v>597</v>
      </c>
      <c r="D430" t="s">
        <v>962</v>
      </c>
      <c r="E430" t="s">
        <v>1110</v>
      </c>
      <c r="F430">
        <v>4187</v>
      </c>
      <c r="G430">
        <v>222109</v>
      </c>
      <c r="H430" t="s">
        <v>964</v>
      </c>
      <c r="I430">
        <v>426</v>
      </c>
      <c r="J430">
        <v>410</v>
      </c>
      <c r="K430" t="s">
        <v>979</v>
      </c>
      <c r="L430" t="s">
        <v>965</v>
      </c>
      <c r="M430" t="s">
        <v>1111</v>
      </c>
    </row>
    <row r="431" spans="1:13" x14ac:dyDescent="0.35">
      <c r="A431">
        <v>101514</v>
      </c>
      <c r="B431">
        <v>1109</v>
      </c>
      <c r="C431" t="s">
        <v>602</v>
      </c>
      <c r="D431" t="s">
        <v>962</v>
      </c>
      <c r="E431" t="s">
        <v>1112</v>
      </c>
      <c r="F431">
        <v>3768</v>
      </c>
      <c r="G431">
        <v>221702</v>
      </c>
      <c r="H431" t="s">
        <v>964</v>
      </c>
      <c r="I431">
        <v>425</v>
      </c>
      <c r="J431">
        <v>409</v>
      </c>
      <c r="K431" t="s">
        <v>1021</v>
      </c>
      <c r="L431" t="s">
        <v>965</v>
      </c>
      <c r="M431" t="s">
        <v>1113</v>
      </c>
    </row>
    <row r="432" spans="1:13" x14ac:dyDescent="0.35">
      <c r="A432">
        <v>104371</v>
      </c>
      <c r="B432">
        <v>3213</v>
      </c>
      <c r="C432" t="s">
        <v>602</v>
      </c>
      <c r="D432" t="s">
        <v>1066</v>
      </c>
      <c r="E432" t="s">
        <v>1114</v>
      </c>
      <c r="F432">
        <v>4166685</v>
      </c>
      <c r="G432">
        <v>228937</v>
      </c>
      <c r="H432" t="s">
        <v>964</v>
      </c>
      <c r="I432">
        <v>425</v>
      </c>
      <c r="J432">
        <v>419</v>
      </c>
      <c r="K432" t="s">
        <v>1068</v>
      </c>
      <c r="L432" t="s">
        <v>980</v>
      </c>
      <c r="M432" t="s">
        <v>1115</v>
      </c>
    </row>
    <row r="433" spans="1:13" x14ac:dyDescent="0.35">
      <c r="A433">
        <v>104469</v>
      </c>
      <c r="B433">
        <v>3441</v>
      </c>
      <c r="C433" t="s">
        <v>602</v>
      </c>
      <c r="D433" t="s">
        <v>1066</v>
      </c>
      <c r="E433" t="s">
        <v>1116</v>
      </c>
      <c r="F433">
        <v>4797369</v>
      </c>
      <c r="H433" t="s">
        <v>964</v>
      </c>
      <c r="I433">
        <v>424</v>
      </c>
      <c r="J433">
        <v>418</v>
      </c>
      <c r="K433" t="s">
        <v>1065</v>
      </c>
      <c r="L433" t="s">
        <v>980</v>
      </c>
      <c r="M433" t="s">
        <v>1117</v>
      </c>
    </row>
    <row r="434" spans="1:13" x14ac:dyDescent="0.35">
      <c r="A434">
        <v>101392</v>
      </c>
      <c r="B434">
        <v>1016</v>
      </c>
      <c r="C434" t="s">
        <v>602</v>
      </c>
      <c r="D434" t="s">
        <v>962</v>
      </c>
      <c r="E434" t="s">
        <v>1118</v>
      </c>
      <c r="F434">
        <v>3505</v>
      </c>
      <c r="G434">
        <v>219900</v>
      </c>
      <c r="H434" t="s">
        <v>964</v>
      </c>
      <c r="I434">
        <v>424</v>
      </c>
      <c r="J434">
        <v>408</v>
      </c>
      <c r="K434" t="s">
        <v>979</v>
      </c>
      <c r="L434" t="s">
        <v>965</v>
      </c>
      <c r="M434" t="s">
        <v>1119</v>
      </c>
    </row>
    <row r="435" spans="1:13" x14ac:dyDescent="0.35">
      <c r="A435">
        <v>104199</v>
      </c>
      <c r="B435">
        <v>1255</v>
      </c>
      <c r="C435" t="s">
        <v>602</v>
      </c>
      <c r="D435" t="s">
        <v>962</v>
      </c>
      <c r="E435" t="s">
        <v>1120</v>
      </c>
      <c r="F435">
        <v>5167</v>
      </c>
      <c r="G435">
        <v>227031</v>
      </c>
      <c r="H435" t="s">
        <v>964</v>
      </c>
      <c r="I435">
        <v>423</v>
      </c>
      <c r="J435">
        <v>407</v>
      </c>
      <c r="K435" t="s">
        <v>1121</v>
      </c>
      <c r="L435" t="s">
        <v>965</v>
      </c>
      <c r="M435" t="s">
        <v>1122</v>
      </c>
    </row>
    <row r="436" spans="1:13" x14ac:dyDescent="0.35">
      <c r="A436">
        <v>104468</v>
      </c>
      <c r="B436">
        <v>3440</v>
      </c>
      <c r="C436" t="s">
        <v>602</v>
      </c>
      <c r="D436" t="s">
        <v>1066</v>
      </c>
      <c r="E436" t="s">
        <v>1123</v>
      </c>
      <c r="F436">
        <v>4797456</v>
      </c>
      <c r="H436" t="s">
        <v>964</v>
      </c>
      <c r="I436">
        <v>423</v>
      </c>
      <c r="J436">
        <v>417</v>
      </c>
      <c r="K436" t="s">
        <v>1065</v>
      </c>
      <c r="L436" t="s">
        <v>965</v>
      </c>
      <c r="M436" t="s">
        <v>1124</v>
      </c>
    </row>
    <row r="437" spans="1:13" x14ac:dyDescent="0.35">
      <c r="A437">
        <v>104474</v>
      </c>
      <c r="B437">
        <v>3446</v>
      </c>
      <c r="C437" t="s">
        <v>602</v>
      </c>
      <c r="D437" t="s">
        <v>1066</v>
      </c>
      <c r="E437" t="s">
        <v>1125</v>
      </c>
      <c r="F437">
        <v>4797367</v>
      </c>
      <c r="H437" t="s">
        <v>964</v>
      </c>
      <c r="I437">
        <v>422</v>
      </c>
      <c r="J437">
        <v>416</v>
      </c>
      <c r="K437" t="s">
        <v>1065</v>
      </c>
      <c r="L437" t="s">
        <v>980</v>
      </c>
      <c r="M437" t="s">
        <v>1126</v>
      </c>
    </row>
    <row r="438" spans="1:13" x14ac:dyDescent="0.35">
      <c r="A438">
        <v>104473</v>
      </c>
      <c r="B438">
        <v>3445</v>
      </c>
      <c r="C438" t="s">
        <v>602</v>
      </c>
      <c r="D438" t="s">
        <v>1066</v>
      </c>
      <c r="E438" t="s">
        <v>1127</v>
      </c>
      <c r="F438">
        <v>4797294</v>
      </c>
      <c r="H438" t="s">
        <v>964</v>
      </c>
      <c r="I438">
        <v>421</v>
      </c>
      <c r="J438">
        <v>415</v>
      </c>
      <c r="K438" t="s">
        <v>1065</v>
      </c>
      <c r="L438" t="s">
        <v>980</v>
      </c>
      <c r="M438" t="s">
        <v>1128</v>
      </c>
    </row>
    <row r="439" spans="1:13" x14ac:dyDescent="0.35">
      <c r="A439">
        <v>0</v>
      </c>
      <c r="B439">
        <v>3580</v>
      </c>
      <c r="C439" t="s">
        <v>602</v>
      </c>
      <c r="D439" t="s">
        <v>1129</v>
      </c>
      <c r="E439" t="s">
        <v>1130</v>
      </c>
      <c r="G439">
        <v>0</v>
      </c>
      <c r="H439" t="s">
        <v>964</v>
      </c>
      <c r="I439">
        <v>420</v>
      </c>
      <c r="J439">
        <v>421</v>
      </c>
      <c r="L439" t="s">
        <v>980</v>
      </c>
      <c r="M439" t="s">
        <v>1130</v>
      </c>
    </row>
    <row r="440" spans="1:13" x14ac:dyDescent="0.35">
      <c r="A440">
        <v>104472</v>
      </c>
      <c r="B440">
        <v>3444</v>
      </c>
      <c r="C440" t="s">
        <v>602</v>
      </c>
      <c r="D440" t="s">
        <v>1066</v>
      </c>
      <c r="E440" t="s">
        <v>1131</v>
      </c>
      <c r="F440">
        <v>4797372</v>
      </c>
      <c r="H440" t="s">
        <v>964</v>
      </c>
      <c r="I440">
        <v>420</v>
      </c>
      <c r="J440">
        <v>414</v>
      </c>
      <c r="K440" t="s">
        <v>1065</v>
      </c>
      <c r="L440" t="s">
        <v>980</v>
      </c>
      <c r="M440" t="s">
        <v>1132</v>
      </c>
    </row>
    <row r="441" spans="1:13" x14ac:dyDescent="0.35">
      <c r="A441">
        <v>104471</v>
      </c>
      <c r="B441">
        <v>3443</v>
      </c>
      <c r="C441" t="s">
        <v>602</v>
      </c>
      <c r="D441" t="s">
        <v>1066</v>
      </c>
      <c r="E441" t="s">
        <v>1133</v>
      </c>
      <c r="F441">
        <v>4797371</v>
      </c>
      <c r="H441" t="s">
        <v>964</v>
      </c>
      <c r="I441">
        <v>419</v>
      </c>
      <c r="J441">
        <v>413</v>
      </c>
      <c r="K441" t="s">
        <v>1065</v>
      </c>
      <c r="L441" t="s">
        <v>980</v>
      </c>
      <c r="M441" t="s">
        <v>1134</v>
      </c>
    </row>
    <row r="442" spans="1:13" x14ac:dyDescent="0.35">
      <c r="A442">
        <v>0</v>
      </c>
      <c r="B442">
        <v>3579</v>
      </c>
      <c r="C442" t="s">
        <v>602</v>
      </c>
      <c r="D442" t="s">
        <v>1129</v>
      </c>
      <c r="E442" t="s">
        <v>1135</v>
      </c>
      <c r="G442">
        <v>0</v>
      </c>
      <c r="H442" t="s">
        <v>964</v>
      </c>
      <c r="I442">
        <v>419</v>
      </c>
      <c r="J442">
        <v>420</v>
      </c>
      <c r="L442" t="s">
        <v>980</v>
      </c>
      <c r="M442" t="s">
        <v>1135</v>
      </c>
    </row>
    <row r="443" spans="1:13" x14ac:dyDescent="0.35">
      <c r="A443">
        <v>103745</v>
      </c>
      <c r="B443">
        <v>1215</v>
      </c>
      <c r="C443" t="s">
        <v>602</v>
      </c>
      <c r="D443" t="s">
        <v>962</v>
      </c>
      <c r="E443" t="s">
        <v>1136</v>
      </c>
      <c r="F443">
        <v>4934</v>
      </c>
      <c r="G443">
        <v>223270</v>
      </c>
      <c r="H443" t="s">
        <v>964</v>
      </c>
      <c r="I443">
        <v>418</v>
      </c>
      <c r="J443">
        <v>402</v>
      </c>
      <c r="K443" t="s">
        <v>1000</v>
      </c>
      <c r="L443" t="s">
        <v>965</v>
      </c>
      <c r="M443" t="s">
        <v>1137</v>
      </c>
    </row>
    <row r="444" spans="1:13" x14ac:dyDescent="0.35">
      <c r="A444">
        <v>104470</v>
      </c>
      <c r="B444">
        <v>3442</v>
      </c>
      <c r="C444" t="s">
        <v>602</v>
      </c>
      <c r="D444" t="s">
        <v>1066</v>
      </c>
      <c r="E444" t="s">
        <v>1138</v>
      </c>
      <c r="F444">
        <v>4797368</v>
      </c>
      <c r="H444" t="s">
        <v>964</v>
      </c>
      <c r="I444">
        <v>418</v>
      </c>
      <c r="J444">
        <v>412</v>
      </c>
      <c r="K444" t="s">
        <v>1065</v>
      </c>
      <c r="L444" t="s">
        <v>980</v>
      </c>
      <c r="M444" t="s">
        <v>1139</v>
      </c>
    </row>
    <row r="445" spans="1:13" x14ac:dyDescent="0.35">
      <c r="A445">
        <v>0</v>
      </c>
      <c r="B445">
        <v>3578</v>
      </c>
      <c r="C445" t="s">
        <v>602</v>
      </c>
      <c r="D445" t="s">
        <v>1129</v>
      </c>
      <c r="E445" t="s">
        <v>1140</v>
      </c>
      <c r="G445">
        <v>0</v>
      </c>
      <c r="H445" t="s">
        <v>964</v>
      </c>
      <c r="I445">
        <v>418</v>
      </c>
      <c r="J445">
        <v>419</v>
      </c>
      <c r="L445" t="s">
        <v>980</v>
      </c>
      <c r="M445" t="s">
        <v>1140</v>
      </c>
    </row>
    <row r="446" spans="1:13" x14ac:dyDescent="0.35">
      <c r="A446">
        <v>104467</v>
      </c>
      <c r="B446">
        <v>3439</v>
      </c>
      <c r="C446" t="s">
        <v>602</v>
      </c>
      <c r="D446" t="s">
        <v>1066</v>
      </c>
      <c r="E446" t="s">
        <v>1141</v>
      </c>
      <c r="F446">
        <v>4797026</v>
      </c>
      <c r="H446" t="s">
        <v>964</v>
      </c>
      <c r="I446">
        <v>417</v>
      </c>
      <c r="J446">
        <v>411</v>
      </c>
      <c r="K446" t="s">
        <v>1065</v>
      </c>
      <c r="L446" t="s">
        <v>980</v>
      </c>
      <c r="M446" t="s">
        <v>1142</v>
      </c>
    </row>
    <row r="447" spans="1:13" x14ac:dyDescent="0.35">
      <c r="A447">
        <v>0</v>
      </c>
      <c r="B447">
        <v>3577</v>
      </c>
      <c r="C447" t="s">
        <v>602</v>
      </c>
      <c r="D447" t="s">
        <v>1129</v>
      </c>
      <c r="E447" t="s">
        <v>1143</v>
      </c>
      <c r="G447">
        <v>0</v>
      </c>
      <c r="H447" t="s">
        <v>964</v>
      </c>
      <c r="I447">
        <v>417</v>
      </c>
      <c r="J447">
        <v>418</v>
      </c>
      <c r="L447" t="s">
        <v>980</v>
      </c>
      <c r="M447" t="s">
        <v>1143</v>
      </c>
    </row>
    <row r="448" spans="1:13" x14ac:dyDescent="0.35">
      <c r="A448">
        <v>104466</v>
      </c>
      <c r="B448">
        <v>3438</v>
      </c>
      <c r="C448" t="s">
        <v>602</v>
      </c>
      <c r="D448" t="s">
        <v>1066</v>
      </c>
      <c r="E448" t="s">
        <v>1144</v>
      </c>
      <c r="F448">
        <v>4797362</v>
      </c>
      <c r="H448" t="s">
        <v>964</v>
      </c>
      <c r="I448">
        <v>416</v>
      </c>
      <c r="J448">
        <v>410</v>
      </c>
      <c r="K448" t="s">
        <v>1065</v>
      </c>
      <c r="L448" t="s">
        <v>965</v>
      </c>
      <c r="M448" t="s">
        <v>1145</v>
      </c>
    </row>
    <row r="449" spans="1:13" x14ac:dyDescent="0.35">
      <c r="A449">
        <v>0</v>
      </c>
      <c r="B449">
        <v>3576</v>
      </c>
      <c r="C449" t="s">
        <v>602</v>
      </c>
      <c r="D449" t="s">
        <v>1129</v>
      </c>
      <c r="E449" t="s">
        <v>1146</v>
      </c>
      <c r="G449">
        <v>0</v>
      </c>
      <c r="H449" t="s">
        <v>1147</v>
      </c>
      <c r="I449">
        <v>416</v>
      </c>
      <c r="J449">
        <v>417</v>
      </c>
      <c r="L449" t="s">
        <v>980</v>
      </c>
      <c r="M449" t="s">
        <v>1146</v>
      </c>
    </row>
    <row r="450" spans="1:13" x14ac:dyDescent="0.35">
      <c r="A450">
        <v>104465</v>
      </c>
      <c r="B450">
        <v>3437</v>
      </c>
      <c r="C450" t="s">
        <v>602</v>
      </c>
      <c r="D450" t="s">
        <v>1066</v>
      </c>
      <c r="E450" t="s">
        <v>1148</v>
      </c>
      <c r="F450">
        <v>4797448</v>
      </c>
      <c r="H450" t="s">
        <v>964</v>
      </c>
      <c r="I450">
        <v>415</v>
      </c>
      <c r="J450">
        <v>409</v>
      </c>
      <c r="K450" t="s">
        <v>1065</v>
      </c>
      <c r="L450" t="s">
        <v>965</v>
      </c>
      <c r="M450" t="s">
        <v>1149</v>
      </c>
    </row>
    <row r="451" spans="1:13" x14ac:dyDescent="0.35">
      <c r="A451">
        <v>0</v>
      </c>
      <c r="B451">
        <v>3575</v>
      </c>
      <c r="C451" t="s">
        <v>602</v>
      </c>
      <c r="D451" t="s">
        <v>1129</v>
      </c>
      <c r="E451" t="s">
        <v>1150</v>
      </c>
      <c r="G451">
        <v>0</v>
      </c>
      <c r="H451" t="s">
        <v>964</v>
      </c>
      <c r="I451">
        <v>415</v>
      </c>
      <c r="J451">
        <v>416</v>
      </c>
      <c r="L451" t="s">
        <v>980</v>
      </c>
      <c r="M451" t="s">
        <v>1150</v>
      </c>
    </row>
    <row r="452" spans="1:13" x14ac:dyDescent="0.35">
      <c r="A452">
        <v>104464</v>
      </c>
      <c r="B452">
        <v>3436</v>
      </c>
      <c r="C452" t="s">
        <v>602</v>
      </c>
      <c r="D452" t="s">
        <v>1066</v>
      </c>
      <c r="E452" t="s">
        <v>1151</v>
      </c>
      <c r="F452">
        <v>4797301</v>
      </c>
      <c r="H452" t="s">
        <v>964</v>
      </c>
      <c r="I452">
        <v>414</v>
      </c>
      <c r="J452">
        <v>408</v>
      </c>
      <c r="K452" t="s">
        <v>1065</v>
      </c>
      <c r="L452" t="s">
        <v>965</v>
      </c>
      <c r="M452" t="s">
        <v>1152</v>
      </c>
    </row>
    <row r="453" spans="1:13" x14ac:dyDescent="0.35">
      <c r="A453">
        <v>0</v>
      </c>
      <c r="B453">
        <v>3574</v>
      </c>
      <c r="C453" t="s">
        <v>602</v>
      </c>
      <c r="D453" t="s">
        <v>1129</v>
      </c>
      <c r="E453" t="s">
        <v>1153</v>
      </c>
      <c r="G453">
        <v>0</v>
      </c>
      <c r="H453" t="s">
        <v>964</v>
      </c>
      <c r="I453">
        <v>414</v>
      </c>
      <c r="J453">
        <v>415</v>
      </c>
      <c r="L453" t="s">
        <v>980</v>
      </c>
      <c r="M453" t="s">
        <v>1153</v>
      </c>
    </row>
    <row r="454" spans="1:13" x14ac:dyDescent="0.35">
      <c r="A454">
        <v>0</v>
      </c>
      <c r="B454">
        <v>3573</v>
      </c>
      <c r="C454" t="s">
        <v>602</v>
      </c>
      <c r="D454" t="s">
        <v>1129</v>
      </c>
      <c r="E454" t="s">
        <v>1154</v>
      </c>
      <c r="G454">
        <v>0</v>
      </c>
      <c r="H454" t="s">
        <v>964</v>
      </c>
      <c r="I454">
        <v>413</v>
      </c>
      <c r="J454">
        <v>414</v>
      </c>
      <c r="L454" t="s">
        <v>980</v>
      </c>
      <c r="M454" t="s">
        <v>1154</v>
      </c>
    </row>
    <row r="455" spans="1:13" x14ac:dyDescent="0.35">
      <c r="A455">
        <v>104463</v>
      </c>
      <c r="B455">
        <v>3435</v>
      </c>
      <c r="C455" t="s">
        <v>602</v>
      </c>
      <c r="D455" t="s">
        <v>1066</v>
      </c>
      <c r="E455" t="s">
        <v>1155</v>
      </c>
      <c r="F455">
        <v>4797290</v>
      </c>
      <c r="H455" t="s">
        <v>964</v>
      </c>
      <c r="I455">
        <v>413</v>
      </c>
      <c r="J455">
        <v>407</v>
      </c>
      <c r="K455" t="s">
        <v>1065</v>
      </c>
      <c r="L455" t="s">
        <v>965</v>
      </c>
      <c r="M455" t="s">
        <v>1156</v>
      </c>
    </row>
    <row r="456" spans="1:13" x14ac:dyDescent="0.35">
      <c r="A456">
        <v>0</v>
      </c>
      <c r="B456">
        <v>3572</v>
      </c>
      <c r="C456" t="s">
        <v>602</v>
      </c>
      <c r="D456" t="s">
        <v>1129</v>
      </c>
      <c r="E456" t="s">
        <v>1157</v>
      </c>
      <c r="G456">
        <v>0</v>
      </c>
      <c r="H456" t="s">
        <v>1147</v>
      </c>
      <c r="I456">
        <v>412</v>
      </c>
      <c r="J456">
        <v>413</v>
      </c>
      <c r="L456" t="s">
        <v>980</v>
      </c>
      <c r="M456" t="s">
        <v>1157</v>
      </c>
    </row>
    <row r="457" spans="1:13" x14ac:dyDescent="0.35">
      <c r="A457">
        <v>104435</v>
      </c>
      <c r="B457">
        <v>3434</v>
      </c>
      <c r="C457" t="s">
        <v>602</v>
      </c>
      <c r="D457" t="s">
        <v>1066</v>
      </c>
      <c r="E457" t="s">
        <v>1158</v>
      </c>
      <c r="F457">
        <v>4797206</v>
      </c>
      <c r="H457" t="s">
        <v>964</v>
      </c>
      <c r="I457">
        <v>412</v>
      </c>
      <c r="J457">
        <v>406</v>
      </c>
      <c r="K457" t="s">
        <v>1065</v>
      </c>
      <c r="L457" t="s">
        <v>965</v>
      </c>
      <c r="M457" t="s">
        <v>1159</v>
      </c>
    </row>
    <row r="458" spans="1:13" x14ac:dyDescent="0.35">
      <c r="A458">
        <v>104439</v>
      </c>
      <c r="B458">
        <v>3433</v>
      </c>
      <c r="C458" t="s">
        <v>602</v>
      </c>
      <c r="D458" t="s">
        <v>1066</v>
      </c>
      <c r="E458" t="s">
        <v>1160</v>
      </c>
      <c r="F458">
        <v>4797203</v>
      </c>
      <c r="H458" t="s">
        <v>964</v>
      </c>
      <c r="I458">
        <v>411</v>
      </c>
      <c r="J458">
        <v>405</v>
      </c>
      <c r="K458" t="s">
        <v>1065</v>
      </c>
      <c r="L458" t="s">
        <v>965</v>
      </c>
      <c r="M458" t="s">
        <v>1161</v>
      </c>
    </row>
    <row r="459" spans="1:13" x14ac:dyDescent="0.35">
      <c r="A459">
        <v>0</v>
      </c>
      <c r="B459">
        <v>3571</v>
      </c>
      <c r="C459" t="s">
        <v>602</v>
      </c>
      <c r="D459" t="s">
        <v>1129</v>
      </c>
      <c r="E459" t="s">
        <v>1162</v>
      </c>
      <c r="G459">
        <v>0</v>
      </c>
      <c r="H459" t="s">
        <v>964</v>
      </c>
      <c r="I459">
        <v>411</v>
      </c>
      <c r="J459">
        <v>412</v>
      </c>
      <c r="L459" t="s">
        <v>980</v>
      </c>
      <c r="M459" t="s">
        <v>1162</v>
      </c>
    </row>
    <row r="460" spans="1:13" x14ac:dyDescent="0.35">
      <c r="A460">
        <v>104428</v>
      </c>
      <c r="B460">
        <v>3432</v>
      </c>
      <c r="C460" t="s">
        <v>602</v>
      </c>
      <c r="D460" t="s">
        <v>1066</v>
      </c>
      <c r="E460" t="s">
        <v>1163</v>
      </c>
      <c r="F460">
        <v>4797468</v>
      </c>
      <c r="H460" t="s">
        <v>964</v>
      </c>
      <c r="I460">
        <v>410</v>
      </c>
      <c r="J460">
        <v>404</v>
      </c>
      <c r="K460" t="s">
        <v>1065</v>
      </c>
      <c r="L460" t="s">
        <v>965</v>
      </c>
      <c r="M460" t="s">
        <v>1164</v>
      </c>
    </row>
    <row r="461" spans="1:13" x14ac:dyDescent="0.35">
      <c r="A461">
        <v>0</v>
      </c>
      <c r="B461">
        <v>3570</v>
      </c>
      <c r="C461" t="s">
        <v>602</v>
      </c>
      <c r="D461" t="s">
        <v>1129</v>
      </c>
      <c r="E461" t="s">
        <v>1165</v>
      </c>
      <c r="G461">
        <v>0</v>
      </c>
      <c r="H461" t="s">
        <v>964</v>
      </c>
      <c r="I461">
        <v>410</v>
      </c>
      <c r="J461">
        <v>411</v>
      </c>
      <c r="L461" t="s">
        <v>980</v>
      </c>
      <c r="M461" t="s">
        <v>1165</v>
      </c>
    </row>
    <row r="462" spans="1:13" x14ac:dyDescent="0.35">
      <c r="A462">
        <v>104449</v>
      </c>
      <c r="B462">
        <v>3431</v>
      </c>
      <c r="C462" t="s">
        <v>602</v>
      </c>
      <c r="D462" t="s">
        <v>1066</v>
      </c>
      <c r="E462" t="s">
        <v>1166</v>
      </c>
      <c r="F462">
        <v>4797032</v>
      </c>
      <c r="H462" t="s">
        <v>964</v>
      </c>
      <c r="I462">
        <v>409</v>
      </c>
      <c r="J462">
        <v>403</v>
      </c>
      <c r="K462" t="s">
        <v>1065</v>
      </c>
      <c r="L462" t="s">
        <v>965</v>
      </c>
      <c r="M462" t="s">
        <v>1167</v>
      </c>
    </row>
    <row r="463" spans="1:13" x14ac:dyDescent="0.35">
      <c r="A463">
        <v>990010</v>
      </c>
      <c r="B463">
        <v>3568</v>
      </c>
      <c r="C463" t="s">
        <v>602</v>
      </c>
      <c r="D463" t="s">
        <v>1129</v>
      </c>
      <c r="E463" t="s">
        <v>1168</v>
      </c>
      <c r="G463">
        <v>0</v>
      </c>
      <c r="H463" t="s">
        <v>964</v>
      </c>
      <c r="I463">
        <v>409</v>
      </c>
      <c r="J463">
        <v>410</v>
      </c>
      <c r="L463" t="s">
        <v>980</v>
      </c>
      <c r="M463" t="s">
        <v>1169</v>
      </c>
    </row>
    <row r="464" spans="1:13" x14ac:dyDescent="0.35">
      <c r="A464">
        <v>104446</v>
      </c>
      <c r="B464">
        <v>3430</v>
      </c>
      <c r="C464" t="s">
        <v>602</v>
      </c>
      <c r="D464" t="s">
        <v>1066</v>
      </c>
      <c r="E464" t="s">
        <v>1170</v>
      </c>
      <c r="F464">
        <v>4797002</v>
      </c>
      <c r="H464" t="s">
        <v>964</v>
      </c>
      <c r="I464">
        <v>408</v>
      </c>
      <c r="J464">
        <v>402</v>
      </c>
      <c r="K464" t="s">
        <v>1065</v>
      </c>
      <c r="L464" t="s">
        <v>965</v>
      </c>
      <c r="M464" t="s">
        <v>1171</v>
      </c>
    </row>
    <row r="465" spans="1:13" x14ac:dyDescent="0.35">
      <c r="A465">
        <v>0</v>
      </c>
      <c r="B465">
        <v>3567</v>
      </c>
      <c r="C465" t="s">
        <v>602</v>
      </c>
      <c r="D465" t="s">
        <v>1129</v>
      </c>
      <c r="E465" t="s">
        <v>1172</v>
      </c>
      <c r="G465">
        <v>0</v>
      </c>
      <c r="H465" t="s">
        <v>964</v>
      </c>
      <c r="I465">
        <v>408</v>
      </c>
      <c r="J465">
        <v>409</v>
      </c>
      <c r="M465" t="s">
        <v>1172</v>
      </c>
    </row>
    <row r="466" spans="1:13" x14ac:dyDescent="0.35">
      <c r="A466">
        <v>104498</v>
      </c>
      <c r="B466">
        <v>3562</v>
      </c>
      <c r="C466" t="s">
        <v>602</v>
      </c>
      <c r="D466" t="s">
        <v>1173</v>
      </c>
      <c r="E466" t="s">
        <v>1174</v>
      </c>
      <c r="F466">
        <v>142</v>
      </c>
      <c r="G466">
        <v>229721</v>
      </c>
      <c r="H466" t="s">
        <v>964</v>
      </c>
      <c r="I466">
        <v>407</v>
      </c>
      <c r="J466">
        <v>408</v>
      </c>
      <c r="L466" t="s">
        <v>980</v>
      </c>
      <c r="M466" t="s">
        <v>1175</v>
      </c>
    </row>
    <row r="467" spans="1:13" x14ac:dyDescent="0.35">
      <c r="A467">
        <v>104431</v>
      </c>
      <c r="B467">
        <v>3429</v>
      </c>
      <c r="C467" t="s">
        <v>597</v>
      </c>
      <c r="D467" t="s">
        <v>1066</v>
      </c>
      <c r="E467" t="s">
        <v>1176</v>
      </c>
      <c r="F467">
        <v>4797373</v>
      </c>
      <c r="H467" t="s">
        <v>964</v>
      </c>
      <c r="I467">
        <v>407</v>
      </c>
      <c r="J467">
        <v>401</v>
      </c>
      <c r="K467" t="s">
        <v>1065</v>
      </c>
      <c r="L467" t="s">
        <v>965</v>
      </c>
      <c r="M467" t="s">
        <v>1177</v>
      </c>
    </row>
    <row r="468" spans="1:13" x14ac:dyDescent="0.35">
      <c r="A468">
        <v>104349</v>
      </c>
      <c r="B468">
        <v>2766</v>
      </c>
      <c r="C468" t="s">
        <v>602</v>
      </c>
      <c r="D468" t="s">
        <v>1178</v>
      </c>
      <c r="E468" t="s">
        <v>1179</v>
      </c>
      <c r="G468">
        <v>218468</v>
      </c>
      <c r="H468" t="s">
        <v>964</v>
      </c>
      <c r="I468">
        <v>406</v>
      </c>
      <c r="J468">
        <v>407</v>
      </c>
      <c r="L468" t="s">
        <v>965</v>
      </c>
      <c r="M468" t="s">
        <v>1180</v>
      </c>
    </row>
    <row r="469" spans="1:13" x14ac:dyDescent="0.35">
      <c r="A469">
        <v>104433</v>
      </c>
      <c r="B469">
        <v>3428</v>
      </c>
      <c r="C469" t="s">
        <v>602</v>
      </c>
      <c r="D469" t="s">
        <v>1066</v>
      </c>
      <c r="E469" t="s">
        <v>1181</v>
      </c>
      <c r="F469">
        <v>4797363</v>
      </c>
      <c r="H469" t="s">
        <v>964</v>
      </c>
      <c r="I469">
        <v>406</v>
      </c>
      <c r="J469">
        <v>400</v>
      </c>
      <c r="K469" t="s">
        <v>1065</v>
      </c>
      <c r="L469" t="s">
        <v>965</v>
      </c>
      <c r="M469" t="s">
        <v>1182</v>
      </c>
    </row>
    <row r="470" spans="1:13" x14ac:dyDescent="0.35">
      <c r="A470">
        <v>104402</v>
      </c>
      <c r="B470">
        <v>3460</v>
      </c>
      <c r="C470" t="s">
        <v>602</v>
      </c>
      <c r="D470" t="s">
        <v>1178</v>
      </c>
      <c r="E470" t="s">
        <v>45</v>
      </c>
      <c r="G470">
        <v>229390</v>
      </c>
      <c r="H470" t="s">
        <v>964</v>
      </c>
      <c r="I470">
        <v>405</v>
      </c>
      <c r="J470">
        <v>406</v>
      </c>
      <c r="L470" t="s">
        <v>965</v>
      </c>
      <c r="M470" t="s">
        <v>1183</v>
      </c>
    </row>
    <row r="471" spans="1:13" x14ac:dyDescent="0.35">
      <c r="A471">
        <v>101582</v>
      </c>
      <c r="B471">
        <v>1175</v>
      </c>
      <c r="C471" t="s">
        <v>602</v>
      </c>
      <c r="D471" t="s">
        <v>962</v>
      </c>
      <c r="E471" t="s">
        <v>1184</v>
      </c>
      <c r="F471">
        <v>4241</v>
      </c>
      <c r="G471">
        <v>222437</v>
      </c>
      <c r="H471" t="s">
        <v>964</v>
      </c>
      <c r="I471">
        <v>405</v>
      </c>
      <c r="J471">
        <v>389</v>
      </c>
      <c r="K471" t="s">
        <v>979</v>
      </c>
      <c r="L471" t="s">
        <v>965</v>
      </c>
      <c r="M471" t="s">
        <v>1185</v>
      </c>
    </row>
    <row r="472" spans="1:13" x14ac:dyDescent="0.35">
      <c r="A472">
        <v>104437</v>
      </c>
      <c r="B472">
        <v>3427</v>
      </c>
      <c r="C472" t="s">
        <v>602</v>
      </c>
      <c r="D472" t="s">
        <v>1066</v>
      </c>
      <c r="E472" t="s">
        <v>1186</v>
      </c>
      <c r="F472">
        <v>4797303</v>
      </c>
      <c r="H472" t="s">
        <v>964</v>
      </c>
      <c r="I472">
        <v>405</v>
      </c>
      <c r="J472">
        <v>399</v>
      </c>
      <c r="K472" t="s">
        <v>1065</v>
      </c>
      <c r="L472" t="s">
        <v>965</v>
      </c>
      <c r="M472" t="s">
        <v>1187</v>
      </c>
    </row>
    <row r="473" spans="1:13" x14ac:dyDescent="0.35">
      <c r="A473">
        <v>104167</v>
      </c>
      <c r="B473">
        <v>2662</v>
      </c>
      <c r="C473" t="s">
        <v>602</v>
      </c>
      <c r="D473" t="s">
        <v>1188</v>
      </c>
      <c r="E473" t="s">
        <v>583</v>
      </c>
      <c r="F473">
        <v>219813</v>
      </c>
      <c r="G473">
        <v>219813</v>
      </c>
      <c r="H473" t="s">
        <v>964</v>
      </c>
      <c r="I473">
        <v>404</v>
      </c>
      <c r="J473">
        <v>405</v>
      </c>
      <c r="M473" t="s">
        <v>1189</v>
      </c>
    </row>
    <row r="474" spans="1:13" x14ac:dyDescent="0.35">
      <c r="A474">
        <v>104448</v>
      </c>
      <c r="B474">
        <v>3426</v>
      </c>
      <c r="C474" t="s">
        <v>602</v>
      </c>
      <c r="D474" t="s">
        <v>1066</v>
      </c>
      <c r="E474" t="s">
        <v>1190</v>
      </c>
      <c r="F474">
        <v>4797385</v>
      </c>
      <c r="H474" t="s">
        <v>964</v>
      </c>
      <c r="I474">
        <v>404</v>
      </c>
      <c r="J474">
        <v>398</v>
      </c>
      <c r="K474" t="s">
        <v>1065</v>
      </c>
      <c r="L474" t="s">
        <v>965</v>
      </c>
      <c r="M474" t="s">
        <v>1191</v>
      </c>
    </row>
    <row r="475" spans="1:13" x14ac:dyDescent="0.35">
      <c r="A475">
        <v>104443</v>
      </c>
      <c r="B475">
        <v>3425</v>
      </c>
      <c r="C475" t="s">
        <v>602</v>
      </c>
      <c r="D475" t="s">
        <v>1066</v>
      </c>
      <c r="E475" t="s">
        <v>1192</v>
      </c>
      <c r="F475">
        <v>4797441</v>
      </c>
      <c r="H475" t="s">
        <v>964</v>
      </c>
      <c r="I475">
        <v>403</v>
      </c>
      <c r="J475">
        <v>397</v>
      </c>
      <c r="K475" t="s">
        <v>1065</v>
      </c>
      <c r="L475" t="s">
        <v>965</v>
      </c>
      <c r="M475" t="s">
        <v>1193</v>
      </c>
    </row>
    <row r="476" spans="1:13" x14ac:dyDescent="0.35">
      <c r="A476">
        <v>101095</v>
      </c>
      <c r="B476">
        <v>2238</v>
      </c>
      <c r="C476" t="s">
        <v>602</v>
      </c>
      <c r="D476" t="s">
        <v>1194</v>
      </c>
      <c r="E476" t="s">
        <v>306</v>
      </c>
      <c r="G476">
        <v>21342</v>
      </c>
      <c r="H476" t="s">
        <v>964</v>
      </c>
      <c r="I476">
        <v>403</v>
      </c>
      <c r="J476">
        <v>404</v>
      </c>
      <c r="M476" t="s">
        <v>1195</v>
      </c>
    </row>
    <row r="477" spans="1:13" x14ac:dyDescent="0.35">
      <c r="A477">
        <v>103648</v>
      </c>
      <c r="B477">
        <v>2554</v>
      </c>
      <c r="C477" t="s">
        <v>602</v>
      </c>
      <c r="D477" t="s">
        <v>1196</v>
      </c>
      <c r="E477" t="s">
        <v>1197</v>
      </c>
      <c r="G477">
        <v>1241</v>
      </c>
      <c r="H477" t="s">
        <v>964</v>
      </c>
      <c r="I477">
        <v>402</v>
      </c>
      <c r="J477">
        <v>403</v>
      </c>
      <c r="L477" t="s">
        <v>980</v>
      </c>
      <c r="M477" t="s">
        <v>1198</v>
      </c>
    </row>
    <row r="478" spans="1:13" x14ac:dyDescent="0.35">
      <c r="A478">
        <v>104441</v>
      </c>
      <c r="B478">
        <v>3424</v>
      </c>
      <c r="C478" t="s">
        <v>602</v>
      </c>
      <c r="D478" t="s">
        <v>1066</v>
      </c>
      <c r="E478" t="s">
        <v>1199</v>
      </c>
      <c r="F478">
        <v>4797307</v>
      </c>
      <c r="H478" t="s">
        <v>964</v>
      </c>
      <c r="I478">
        <v>402</v>
      </c>
      <c r="J478">
        <v>396</v>
      </c>
      <c r="K478" t="s">
        <v>1065</v>
      </c>
      <c r="L478" t="s">
        <v>965</v>
      </c>
      <c r="M478" t="s">
        <v>1200</v>
      </c>
    </row>
    <row r="479" spans="1:13" x14ac:dyDescent="0.35">
      <c r="A479">
        <v>104440</v>
      </c>
      <c r="B479">
        <v>3423</v>
      </c>
      <c r="C479" t="s">
        <v>602</v>
      </c>
      <c r="D479" t="s">
        <v>1066</v>
      </c>
      <c r="E479" t="s">
        <v>1201</v>
      </c>
      <c r="F479">
        <v>4797305</v>
      </c>
      <c r="H479" t="s">
        <v>964</v>
      </c>
      <c r="I479">
        <v>401</v>
      </c>
      <c r="J479">
        <v>395</v>
      </c>
      <c r="K479" t="s">
        <v>1065</v>
      </c>
      <c r="L479" t="s">
        <v>965</v>
      </c>
      <c r="M479" t="s">
        <v>1202</v>
      </c>
    </row>
    <row r="480" spans="1:13" x14ac:dyDescent="0.35">
      <c r="A480">
        <v>103203</v>
      </c>
      <c r="B480">
        <v>2504</v>
      </c>
      <c r="C480" t="s">
        <v>602</v>
      </c>
      <c r="D480" t="s">
        <v>1203</v>
      </c>
      <c r="E480" t="s">
        <v>250</v>
      </c>
      <c r="G480">
        <v>1594</v>
      </c>
      <c r="H480" t="s">
        <v>964</v>
      </c>
      <c r="I480">
        <v>401</v>
      </c>
      <c r="J480">
        <v>402</v>
      </c>
      <c r="M480" t="s">
        <v>1204</v>
      </c>
    </row>
    <row r="481" spans="1:13" x14ac:dyDescent="0.35">
      <c r="A481">
        <v>104029</v>
      </c>
      <c r="B481">
        <v>2605</v>
      </c>
      <c r="C481" t="s">
        <v>602</v>
      </c>
      <c r="D481" t="s">
        <v>1205</v>
      </c>
      <c r="E481" t="s">
        <v>441</v>
      </c>
      <c r="G481">
        <v>229546</v>
      </c>
      <c r="H481" t="s">
        <v>964</v>
      </c>
      <c r="I481">
        <v>400</v>
      </c>
      <c r="J481">
        <v>401</v>
      </c>
      <c r="M481" t="s">
        <v>1206</v>
      </c>
    </row>
    <row r="482" spans="1:13" x14ac:dyDescent="0.35">
      <c r="A482">
        <v>104451</v>
      </c>
      <c r="B482">
        <v>3422</v>
      </c>
      <c r="C482" t="s">
        <v>602</v>
      </c>
      <c r="D482" t="s">
        <v>1066</v>
      </c>
      <c r="E482" t="s">
        <v>1207</v>
      </c>
      <c r="F482">
        <v>4797003</v>
      </c>
      <c r="H482" t="s">
        <v>964</v>
      </c>
      <c r="I482">
        <v>400</v>
      </c>
      <c r="J482">
        <v>394</v>
      </c>
      <c r="K482" t="s">
        <v>1065</v>
      </c>
      <c r="L482" t="s">
        <v>965</v>
      </c>
      <c r="M482" t="s">
        <v>1208</v>
      </c>
    </row>
    <row r="483" spans="1:13" x14ac:dyDescent="0.35">
      <c r="A483">
        <v>104450</v>
      </c>
      <c r="B483">
        <v>3421</v>
      </c>
      <c r="C483" t="s">
        <v>602</v>
      </c>
      <c r="D483" t="s">
        <v>1066</v>
      </c>
      <c r="E483" t="s">
        <v>1209</v>
      </c>
      <c r="F483">
        <v>4797299</v>
      </c>
      <c r="H483" t="s">
        <v>964</v>
      </c>
      <c r="I483">
        <v>399</v>
      </c>
      <c r="J483">
        <v>393</v>
      </c>
      <c r="K483" t="s">
        <v>1065</v>
      </c>
      <c r="L483" t="s">
        <v>965</v>
      </c>
      <c r="M483" t="s">
        <v>1210</v>
      </c>
    </row>
    <row r="484" spans="1:13" x14ac:dyDescent="0.35">
      <c r="A484">
        <v>0</v>
      </c>
      <c r="B484">
        <v>3420</v>
      </c>
      <c r="C484" t="s">
        <v>597</v>
      </c>
      <c r="D484" t="s">
        <v>1066</v>
      </c>
      <c r="E484" t="s">
        <v>1211</v>
      </c>
      <c r="F484">
        <v>4797452</v>
      </c>
      <c r="H484" t="s">
        <v>964</v>
      </c>
      <c r="I484">
        <v>398</v>
      </c>
      <c r="J484">
        <v>392</v>
      </c>
      <c r="K484" t="s">
        <v>1065</v>
      </c>
      <c r="L484" t="s">
        <v>965</v>
      </c>
      <c r="M484" t="s">
        <v>1212</v>
      </c>
    </row>
    <row r="485" spans="1:13" x14ac:dyDescent="0.35">
      <c r="A485">
        <v>0</v>
      </c>
      <c r="B485">
        <v>3563</v>
      </c>
      <c r="C485" t="s">
        <v>602</v>
      </c>
      <c r="D485" t="s">
        <v>1188</v>
      </c>
      <c r="E485" t="s">
        <v>1213</v>
      </c>
      <c r="G485">
        <v>0</v>
      </c>
      <c r="H485" t="s">
        <v>964</v>
      </c>
      <c r="I485">
        <v>398</v>
      </c>
      <c r="J485">
        <v>399</v>
      </c>
      <c r="M485" t="s">
        <v>1213</v>
      </c>
    </row>
    <row r="486" spans="1:13" x14ac:dyDescent="0.35">
      <c r="A486">
        <v>104480</v>
      </c>
      <c r="B486">
        <v>3419</v>
      </c>
      <c r="C486" t="s">
        <v>602</v>
      </c>
      <c r="D486" t="s">
        <v>1066</v>
      </c>
      <c r="E486" t="s">
        <v>1214</v>
      </c>
      <c r="F486">
        <v>4797394</v>
      </c>
      <c r="H486" t="s">
        <v>964</v>
      </c>
      <c r="I486">
        <v>397</v>
      </c>
      <c r="J486">
        <v>391</v>
      </c>
      <c r="K486" t="s">
        <v>1065</v>
      </c>
      <c r="L486" t="s">
        <v>965</v>
      </c>
      <c r="M486" t="s">
        <v>1215</v>
      </c>
    </row>
    <row r="487" spans="1:13" x14ac:dyDescent="0.35">
      <c r="A487">
        <v>102037</v>
      </c>
      <c r="B487">
        <v>2345</v>
      </c>
      <c r="C487" t="s">
        <v>602</v>
      </c>
      <c r="D487" t="s">
        <v>1216</v>
      </c>
      <c r="E487" t="s">
        <v>413</v>
      </c>
      <c r="G487">
        <v>839</v>
      </c>
      <c r="H487" t="s">
        <v>964</v>
      </c>
      <c r="I487">
        <v>397</v>
      </c>
      <c r="J487">
        <v>398</v>
      </c>
      <c r="M487" t="s">
        <v>1217</v>
      </c>
    </row>
    <row r="488" spans="1:13" x14ac:dyDescent="0.35">
      <c r="A488">
        <v>104461</v>
      </c>
      <c r="B488">
        <v>3418</v>
      </c>
      <c r="C488" t="s">
        <v>602</v>
      </c>
      <c r="D488" t="s">
        <v>1066</v>
      </c>
      <c r="E488" t="s">
        <v>1218</v>
      </c>
      <c r="F488">
        <v>4797322</v>
      </c>
      <c r="H488" t="s">
        <v>964</v>
      </c>
      <c r="I488">
        <v>396</v>
      </c>
      <c r="J488">
        <v>390</v>
      </c>
      <c r="K488" t="s">
        <v>1065</v>
      </c>
      <c r="L488" t="s">
        <v>965</v>
      </c>
      <c r="M488" t="s">
        <v>1219</v>
      </c>
    </row>
    <row r="489" spans="1:13" x14ac:dyDescent="0.35">
      <c r="B489">
        <v>3558</v>
      </c>
      <c r="C489" t="s">
        <v>602</v>
      </c>
      <c r="D489" t="s">
        <v>1194</v>
      </c>
      <c r="E489" t="s">
        <v>1220</v>
      </c>
      <c r="G489">
        <v>21342</v>
      </c>
      <c r="I489">
        <v>396</v>
      </c>
      <c r="J489">
        <v>397</v>
      </c>
      <c r="M489" t="s">
        <v>1220</v>
      </c>
    </row>
    <row r="490" spans="1:13" x14ac:dyDescent="0.35">
      <c r="A490">
        <v>104460</v>
      </c>
      <c r="B490">
        <v>3417</v>
      </c>
      <c r="C490" t="s">
        <v>602</v>
      </c>
      <c r="D490" t="s">
        <v>1066</v>
      </c>
      <c r="E490" t="s">
        <v>1221</v>
      </c>
      <c r="F490">
        <v>4797033</v>
      </c>
      <c r="H490" t="s">
        <v>964</v>
      </c>
      <c r="I490">
        <v>395</v>
      </c>
      <c r="J490">
        <v>389</v>
      </c>
      <c r="K490" t="s">
        <v>1065</v>
      </c>
      <c r="L490" t="s">
        <v>965</v>
      </c>
      <c r="M490" t="s">
        <v>1222</v>
      </c>
    </row>
    <row r="491" spans="1:13" x14ac:dyDescent="0.35">
      <c r="A491">
        <v>103648</v>
      </c>
      <c r="B491">
        <v>3557</v>
      </c>
      <c r="C491" t="s">
        <v>602</v>
      </c>
      <c r="D491" t="s">
        <v>1196</v>
      </c>
      <c r="E491" t="s">
        <v>1223</v>
      </c>
      <c r="G491">
        <v>1241</v>
      </c>
      <c r="H491" t="s">
        <v>964</v>
      </c>
      <c r="I491">
        <v>395</v>
      </c>
      <c r="J491">
        <v>396</v>
      </c>
      <c r="L491" t="s">
        <v>980</v>
      </c>
      <c r="M491" t="s">
        <v>1223</v>
      </c>
    </row>
    <row r="492" spans="1:13" x14ac:dyDescent="0.35">
      <c r="A492">
        <v>0</v>
      </c>
      <c r="B492">
        <v>3556</v>
      </c>
      <c r="C492" t="s">
        <v>602</v>
      </c>
      <c r="D492" t="s">
        <v>1203</v>
      </c>
      <c r="E492" t="s">
        <v>1224</v>
      </c>
      <c r="G492">
        <v>0</v>
      </c>
      <c r="H492" t="s">
        <v>964</v>
      </c>
      <c r="I492">
        <v>394</v>
      </c>
      <c r="J492">
        <v>395</v>
      </c>
      <c r="M492" t="s">
        <v>1224</v>
      </c>
    </row>
    <row r="493" spans="1:13" x14ac:dyDescent="0.35">
      <c r="A493">
        <v>104458</v>
      </c>
      <c r="B493">
        <v>3416</v>
      </c>
      <c r="C493" t="s">
        <v>602</v>
      </c>
      <c r="D493" t="s">
        <v>1066</v>
      </c>
      <c r="E493" t="s">
        <v>1225</v>
      </c>
      <c r="F493">
        <v>4797291</v>
      </c>
      <c r="H493" t="s">
        <v>964</v>
      </c>
      <c r="I493">
        <v>394</v>
      </c>
      <c r="J493">
        <v>388</v>
      </c>
      <c r="K493" t="s">
        <v>1065</v>
      </c>
      <c r="L493" t="s">
        <v>965</v>
      </c>
      <c r="M493" t="s">
        <v>1226</v>
      </c>
    </row>
    <row r="494" spans="1:13" x14ac:dyDescent="0.35">
      <c r="A494">
        <v>104434</v>
      </c>
      <c r="B494">
        <v>3415</v>
      </c>
      <c r="C494" t="s">
        <v>602</v>
      </c>
      <c r="D494" t="s">
        <v>1066</v>
      </c>
      <c r="E494" t="s">
        <v>1227</v>
      </c>
      <c r="F494">
        <v>4797197</v>
      </c>
      <c r="H494" t="s">
        <v>964</v>
      </c>
      <c r="I494">
        <v>393</v>
      </c>
      <c r="J494">
        <v>387</v>
      </c>
      <c r="K494" t="s">
        <v>1065</v>
      </c>
      <c r="L494" t="s">
        <v>965</v>
      </c>
      <c r="M494" t="s">
        <v>1228</v>
      </c>
    </row>
    <row r="495" spans="1:13" x14ac:dyDescent="0.35">
      <c r="A495">
        <v>104217</v>
      </c>
      <c r="B495">
        <v>1263</v>
      </c>
      <c r="C495" t="s">
        <v>602</v>
      </c>
      <c r="D495" t="s">
        <v>962</v>
      </c>
      <c r="E495" t="s">
        <v>1229</v>
      </c>
      <c r="F495">
        <v>5463</v>
      </c>
      <c r="G495">
        <v>227229</v>
      </c>
      <c r="H495" t="s">
        <v>964</v>
      </c>
      <c r="I495">
        <v>393</v>
      </c>
      <c r="J495">
        <v>377</v>
      </c>
      <c r="K495" t="s">
        <v>979</v>
      </c>
      <c r="L495" t="s">
        <v>980</v>
      </c>
      <c r="M495" t="s">
        <v>1230</v>
      </c>
    </row>
    <row r="496" spans="1:13" x14ac:dyDescent="0.35">
      <c r="A496">
        <v>0</v>
      </c>
      <c r="B496">
        <v>3551</v>
      </c>
      <c r="C496" t="s">
        <v>602</v>
      </c>
      <c r="D496" t="s">
        <v>1205</v>
      </c>
      <c r="E496" t="s">
        <v>1231</v>
      </c>
      <c r="G496">
        <v>0</v>
      </c>
      <c r="H496" t="s">
        <v>964</v>
      </c>
      <c r="I496">
        <v>393</v>
      </c>
      <c r="J496">
        <v>394</v>
      </c>
      <c r="M496" t="s">
        <v>1231</v>
      </c>
    </row>
    <row r="497" spans="1:13" x14ac:dyDescent="0.35">
      <c r="A497">
        <v>104438</v>
      </c>
      <c r="B497">
        <v>3414</v>
      </c>
      <c r="C497" t="s">
        <v>602</v>
      </c>
      <c r="D497" t="s">
        <v>1066</v>
      </c>
      <c r="E497" t="s">
        <v>1232</v>
      </c>
      <c r="F497">
        <v>4797387</v>
      </c>
      <c r="H497" t="s">
        <v>964</v>
      </c>
      <c r="I497">
        <v>392</v>
      </c>
      <c r="J497">
        <v>386</v>
      </c>
      <c r="K497" t="s">
        <v>1065</v>
      </c>
      <c r="L497" t="s">
        <v>965</v>
      </c>
      <c r="M497" t="s">
        <v>1233</v>
      </c>
    </row>
    <row r="498" spans="1:13" x14ac:dyDescent="0.35">
      <c r="B498">
        <v>3548</v>
      </c>
      <c r="C498" t="s">
        <v>602</v>
      </c>
      <c r="D498" t="s">
        <v>1216</v>
      </c>
      <c r="E498" t="s">
        <v>1234</v>
      </c>
      <c r="F498">
        <v>839</v>
      </c>
      <c r="G498">
        <v>839</v>
      </c>
      <c r="H498" t="s">
        <v>964</v>
      </c>
      <c r="I498">
        <v>392</v>
      </c>
      <c r="J498">
        <v>393</v>
      </c>
      <c r="M498" t="s">
        <v>1234</v>
      </c>
    </row>
    <row r="499" spans="1:13" x14ac:dyDescent="0.35">
      <c r="A499">
        <v>104422</v>
      </c>
      <c r="B499">
        <v>3413</v>
      </c>
      <c r="C499" t="s">
        <v>602</v>
      </c>
      <c r="D499" t="s">
        <v>1066</v>
      </c>
      <c r="E499" t="s">
        <v>1235</v>
      </c>
      <c r="F499">
        <v>4797006</v>
      </c>
      <c r="H499" t="s">
        <v>964</v>
      </c>
      <c r="I499">
        <v>391</v>
      </c>
      <c r="J499">
        <v>385</v>
      </c>
      <c r="K499" t="s">
        <v>1065</v>
      </c>
      <c r="L499" t="s">
        <v>965</v>
      </c>
      <c r="M499" t="s">
        <v>1236</v>
      </c>
    </row>
    <row r="500" spans="1:13" x14ac:dyDescent="0.35">
      <c r="A500">
        <v>102056</v>
      </c>
      <c r="B500">
        <v>2347</v>
      </c>
      <c r="C500" t="s">
        <v>602</v>
      </c>
      <c r="D500" t="s">
        <v>1237</v>
      </c>
      <c r="E500" t="s">
        <v>359</v>
      </c>
      <c r="G500">
        <v>222952</v>
      </c>
      <c r="H500" t="s">
        <v>964</v>
      </c>
      <c r="I500">
        <v>391</v>
      </c>
      <c r="J500">
        <v>392</v>
      </c>
      <c r="L500" t="s">
        <v>965</v>
      </c>
      <c r="M500" t="s">
        <v>1238</v>
      </c>
    </row>
    <row r="501" spans="1:13" x14ac:dyDescent="0.35">
      <c r="A501">
        <v>0</v>
      </c>
      <c r="B501">
        <v>3547</v>
      </c>
      <c r="C501" t="s">
        <v>602</v>
      </c>
      <c r="D501" t="s">
        <v>1237</v>
      </c>
      <c r="E501" t="s">
        <v>1239</v>
      </c>
      <c r="F501">
        <v>222952</v>
      </c>
      <c r="G501">
        <v>0</v>
      </c>
      <c r="H501" t="s">
        <v>964</v>
      </c>
      <c r="I501">
        <v>390</v>
      </c>
      <c r="J501">
        <v>391</v>
      </c>
      <c r="M501" t="s">
        <v>1239</v>
      </c>
    </row>
    <row r="502" spans="1:13" x14ac:dyDescent="0.35">
      <c r="A502">
        <v>104457</v>
      </c>
      <c r="B502">
        <v>3412</v>
      </c>
      <c r="C502" t="s">
        <v>602</v>
      </c>
      <c r="D502" t="s">
        <v>1066</v>
      </c>
      <c r="E502" t="s">
        <v>1240</v>
      </c>
      <c r="F502">
        <v>4797380</v>
      </c>
      <c r="H502" t="s">
        <v>964</v>
      </c>
      <c r="I502">
        <v>390</v>
      </c>
      <c r="J502">
        <v>384</v>
      </c>
      <c r="K502" t="s">
        <v>1065</v>
      </c>
      <c r="L502" t="s">
        <v>965</v>
      </c>
      <c r="M502" t="s">
        <v>1241</v>
      </c>
    </row>
    <row r="503" spans="1:13" x14ac:dyDescent="0.35">
      <c r="A503">
        <v>0</v>
      </c>
      <c r="B503">
        <v>3540</v>
      </c>
      <c r="C503" t="s">
        <v>1242</v>
      </c>
      <c r="D503" t="s">
        <v>1243</v>
      </c>
      <c r="E503" t="s">
        <v>1244</v>
      </c>
      <c r="G503">
        <v>0</v>
      </c>
      <c r="I503">
        <v>389</v>
      </c>
      <c r="J503">
        <v>390</v>
      </c>
      <c r="K503" t="s">
        <v>1245</v>
      </c>
    </row>
    <row r="504" spans="1:13" x14ac:dyDescent="0.35">
      <c r="A504">
        <v>104452</v>
      </c>
      <c r="B504">
        <v>3411</v>
      </c>
      <c r="C504" t="s">
        <v>602</v>
      </c>
      <c r="D504" t="s">
        <v>1066</v>
      </c>
      <c r="E504" t="s">
        <v>1246</v>
      </c>
      <c r="F504">
        <v>4797166</v>
      </c>
      <c r="H504" t="s">
        <v>964</v>
      </c>
      <c r="I504">
        <v>389</v>
      </c>
      <c r="J504">
        <v>383</v>
      </c>
      <c r="K504" t="s">
        <v>1065</v>
      </c>
      <c r="L504" t="s">
        <v>965</v>
      </c>
      <c r="M504" t="s">
        <v>1247</v>
      </c>
    </row>
    <row r="505" spans="1:13" x14ac:dyDescent="0.35">
      <c r="A505">
        <v>104483</v>
      </c>
      <c r="B505">
        <v>3410</v>
      </c>
      <c r="C505" t="s">
        <v>602</v>
      </c>
      <c r="D505" t="s">
        <v>1066</v>
      </c>
      <c r="E505" t="s">
        <v>1248</v>
      </c>
      <c r="F505">
        <v>4797209</v>
      </c>
      <c r="H505" t="s">
        <v>964</v>
      </c>
      <c r="I505">
        <v>388</v>
      </c>
      <c r="J505">
        <v>382</v>
      </c>
      <c r="K505" t="s">
        <v>1065</v>
      </c>
      <c r="L505" t="s">
        <v>965</v>
      </c>
      <c r="M505" t="s">
        <v>1249</v>
      </c>
    </row>
    <row r="506" spans="1:13" x14ac:dyDescent="0.35">
      <c r="A506">
        <v>0</v>
      </c>
      <c r="B506">
        <v>3543</v>
      </c>
      <c r="C506" t="s">
        <v>1242</v>
      </c>
      <c r="D506" t="s">
        <v>1243</v>
      </c>
      <c r="E506" t="s">
        <v>1250</v>
      </c>
      <c r="G506">
        <v>0</v>
      </c>
      <c r="I506">
        <v>388</v>
      </c>
      <c r="J506">
        <v>389</v>
      </c>
      <c r="K506" t="s">
        <v>1245</v>
      </c>
    </row>
    <row r="507" spans="1:13" x14ac:dyDescent="0.35">
      <c r="A507">
        <v>104482</v>
      </c>
      <c r="B507">
        <v>3409</v>
      </c>
      <c r="C507" t="s">
        <v>602</v>
      </c>
      <c r="D507" t="s">
        <v>1066</v>
      </c>
      <c r="E507" t="s">
        <v>1251</v>
      </c>
      <c r="F507">
        <v>4797396</v>
      </c>
      <c r="H507" t="s">
        <v>964</v>
      </c>
      <c r="I507">
        <v>387</v>
      </c>
      <c r="J507">
        <v>381</v>
      </c>
      <c r="K507" t="s">
        <v>1065</v>
      </c>
      <c r="L507" t="s">
        <v>965</v>
      </c>
      <c r="M507" t="s">
        <v>1252</v>
      </c>
    </row>
    <row r="508" spans="1:13" x14ac:dyDescent="0.35">
      <c r="A508">
        <v>0</v>
      </c>
      <c r="B508">
        <v>3542</v>
      </c>
      <c r="C508" t="s">
        <v>1242</v>
      </c>
      <c r="D508" t="s">
        <v>1243</v>
      </c>
      <c r="E508" t="s">
        <v>1253</v>
      </c>
      <c r="G508">
        <v>0</v>
      </c>
      <c r="I508">
        <v>387</v>
      </c>
      <c r="J508">
        <v>388</v>
      </c>
      <c r="K508" t="s">
        <v>1245</v>
      </c>
    </row>
    <row r="509" spans="1:13" x14ac:dyDescent="0.35">
      <c r="A509">
        <v>104481</v>
      </c>
      <c r="B509">
        <v>3408</v>
      </c>
      <c r="C509" t="s">
        <v>602</v>
      </c>
      <c r="D509" t="s">
        <v>1066</v>
      </c>
      <c r="E509" t="s">
        <v>1254</v>
      </c>
      <c r="F509">
        <v>4797313</v>
      </c>
      <c r="H509" t="s">
        <v>964</v>
      </c>
      <c r="I509">
        <v>386</v>
      </c>
      <c r="J509">
        <v>380</v>
      </c>
      <c r="K509" t="s">
        <v>1065</v>
      </c>
      <c r="L509" t="s">
        <v>965</v>
      </c>
      <c r="M509" t="s">
        <v>1255</v>
      </c>
    </row>
    <row r="510" spans="1:13" x14ac:dyDescent="0.35">
      <c r="A510">
        <v>101581</v>
      </c>
      <c r="B510">
        <v>1174</v>
      </c>
      <c r="C510" t="s">
        <v>602</v>
      </c>
      <c r="D510" t="s">
        <v>962</v>
      </c>
      <c r="E510" t="s">
        <v>1256</v>
      </c>
      <c r="F510">
        <v>4520</v>
      </c>
      <c r="G510">
        <v>222426</v>
      </c>
      <c r="H510" t="s">
        <v>964</v>
      </c>
      <c r="I510">
        <v>386</v>
      </c>
      <c r="J510">
        <v>370</v>
      </c>
      <c r="K510" t="s">
        <v>979</v>
      </c>
      <c r="L510" t="s">
        <v>965</v>
      </c>
      <c r="M510" t="s">
        <v>1257</v>
      </c>
    </row>
    <row r="511" spans="1:13" x14ac:dyDescent="0.35">
      <c r="A511">
        <v>0</v>
      </c>
      <c r="B511">
        <v>3541</v>
      </c>
      <c r="C511" t="s">
        <v>1242</v>
      </c>
      <c r="D511" t="s">
        <v>1243</v>
      </c>
      <c r="E511" t="s">
        <v>1258</v>
      </c>
      <c r="G511">
        <v>0</v>
      </c>
      <c r="I511">
        <v>386</v>
      </c>
      <c r="J511">
        <v>387</v>
      </c>
      <c r="K511" t="s">
        <v>1245</v>
      </c>
    </row>
    <row r="512" spans="1:13" x14ac:dyDescent="0.35">
      <c r="A512">
        <v>104026</v>
      </c>
      <c r="B512">
        <v>2604</v>
      </c>
      <c r="C512" t="s">
        <v>602</v>
      </c>
      <c r="D512" t="s">
        <v>1259</v>
      </c>
      <c r="E512" t="s">
        <v>209</v>
      </c>
      <c r="G512">
        <v>225145</v>
      </c>
      <c r="H512" t="s">
        <v>964</v>
      </c>
      <c r="I512">
        <v>385</v>
      </c>
      <c r="J512">
        <v>386</v>
      </c>
      <c r="M512" t="s">
        <v>1260</v>
      </c>
    </row>
    <row r="513" spans="1:13" x14ac:dyDescent="0.35">
      <c r="A513">
        <v>104476</v>
      </c>
      <c r="B513">
        <v>3407</v>
      </c>
      <c r="C513" t="s">
        <v>602</v>
      </c>
      <c r="D513" t="s">
        <v>1066</v>
      </c>
      <c r="E513" t="s">
        <v>1261</v>
      </c>
      <c r="F513">
        <v>4797210</v>
      </c>
      <c r="H513" t="s">
        <v>964</v>
      </c>
      <c r="I513">
        <v>385</v>
      </c>
      <c r="J513">
        <v>379</v>
      </c>
      <c r="K513" t="s">
        <v>1065</v>
      </c>
      <c r="L513" t="s">
        <v>965</v>
      </c>
      <c r="M513" t="s">
        <v>1262</v>
      </c>
    </row>
    <row r="514" spans="1:13" x14ac:dyDescent="0.35">
      <c r="A514">
        <v>0</v>
      </c>
      <c r="B514">
        <v>3539</v>
      </c>
      <c r="C514" t="s">
        <v>602</v>
      </c>
      <c r="D514" t="s">
        <v>1259</v>
      </c>
      <c r="E514" t="s">
        <v>1263</v>
      </c>
      <c r="G514">
        <v>0</v>
      </c>
      <c r="H514" t="s">
        <v>964</v>
      </c>
      <c r="I514">
        <v>384</v>
      </c>
      <c r="J514">
        <v>385</v>
      </c>
      <c r="L514" t="s">
        <v>965</v>
      </c>
      <c r="M514" t="s">
        <v>1263</v>
      </c>
    </row>
    <row r="515" spans="1:13" x14ac:dyDescent="0.35">
      <c r="A515">
        <v>104456</v>
      </c>
      <c r="B515">
        <v>3406</v>
      </c>
      <c r="C515" t="s">
        <v>602</v>
      </c>
      <c r="D515" t="s">
        <v>1066</v>
      </c>
      <c r="E515" t="s">
        <v>1264</v>
      </c>
      <c r="F515">
        <v>4797314</v>
      </c>
      <c r="H515" t="s">
        <v>964</v>
      </c>
      <c r="I515">
        <v>384</v>
      </c>
      <c r="J515">
        <v>378</v>
      </c>
      <c r="K515" t="s">
        <v>1065</v>
      </c>
      <c r="L515" t="s">
        <v>965</v>
      </c>
      <c r="M515" t="s">
        <v>1265</v>
      </c>
    </row>
    <row r="516" spans="1:13" x14ac:dyDescent="0.35">
      <c r="A516">
        <v>104490</v>
      </c>
      <c r="B516">
        <v>3535</v>
      </c>
      <c r="C516" t="s">
        <v>602</v>
      </c>
      <c r="D516" t="s">
        <v>1266</v>
      </c>
      <c r="E516" t="s">
        <v>555</v>
      </c>
      <c r="G516">
        <v>229672</v>
      </c>
      <c r="H516" t="s">
        <v>964</v>
      </c>
      <c r="I516">
        <v>383</v>
      </c>
      <c r="J516">
        <v>384</v>
      </c>
      <c r="L516" t="s">
        <v>965</v>
      </c>
      <c r="M516" t="s">
        <v>1267</v>
      </c>
    </row>
    <row r="517" spans="1:13" x14ac:dyDescent="0.35">
      <c r="A517">
        <v>101503</v>
      </c>
      <c r="B517">
        <v>1101</v>
      </c>
      <c r="C517" t="s">
        <v>602</v>
      </c>
      <c r="D517" t="s">
        <v>962</v>
      </c>
      <c r="E517" t="s">
        <v>1268</v>
      </c>
      <c r="F517">
        <v>3723</v>
      </c>
      <c r="G517">
        <v>221548</v>
      </c>
      <c r="H517" t="s">
        <v>964</v>
      </c>
      <c r="I517">
        <v>383</v>
      </c>
      <c r="J517">
        <v>367</v>
      </c>
      <c r="K517" t="s">
        <v>979</v>
      </c>
      <c r="L517" t="s">
        <v>980</v>
      </c>
      <c r="M517" t="s">
        <v>1269</v>
      </c>
    </row>
    <row r="518" spans="1:13" x14ac:dyDescent="0.35">
      <c r="A518">
        <v>104454</v>
      </c>
      <c r="B518">
        <v>3405</v>
      </c>
      <c r="C518" t="s">
        <v>602</v>
      </c>
      <c r="D518" t="s">
        <v>1066</v>
      </c>
      <c r="E518" t="s">
        <v>1270</v>
      </c>
      <c r="F518">
        <v>4797304</v>
      </c>
      <c r="H518" t="s">
        <v>964</v>
      </c>
      <c r="I518">
        <v>383</v>
      </c>
      <c r="J518">
        <v>377</v>
      </c>
      <c r="K518" t="s">
        <v>1065</v>
      </c>
      <c r="L518" t="s">
        <v>965</v>
      </c>
      <c r="M518" t="s">
        <v>1271</v>
      </c>
    </row>
    <row r="519" spans="1:13" x14ac:dyDescent="0.35">
      <c r="A519">
        <v>104484</v>
      </c>
      <c r="B519">
        <v>3404</v>
      </c>
      <c r="C519" t="s">
        <v>602</v>
      </c>
      <c r="D519" t="s">
        <v>1066</v>
      </c>
      <c r="E519" t="s">
        <v>1272</v>
      </c>
      <c r="F519">
        <v>4797215</v>
      </c>
      <c r="H519" t="s">
        <v>964</v>
      </c>
      <c r="I519">
        <v>382</v>
      </c>
      <c r="J519">
        <v>376</v>
      </c>
      <c r="K519" t="s">
        <v>1065</v>
      </c>
      <c r="L519" t="s">
        <v>965</v>
      </c>
      <c r="M519" t="s">
        <v>1273</v>
      </c>
    </row>
    <row r="520" spans="1:13" x14ac:dyDescent="0.35">
      <c r="A520">
        <v>0</v>
      </c>
      <c r="B520">
        <v>3537</v>
      </c>
      <c r="C520" t="s">
        <v>602</v>
      </c>
      <c r="D520" t="s">
        <v>1266</v>
      </c>
      <c r="E520" t="s">
        <v>1274</v>
      </c>
      <c r="G520">
        <v>0</v>
      </c>
      <c r="H520" t="s">
        <v>964</v>
      </c>
      <c r="I520">
        <v>382</v>
      </c>
      <c r="J520">
        <v>383</v>
      </c>
      <c r="L520" t="s">
        <v>965</v>
      </c>
      <c r="M520" t="s">
        <v>1274</v>
      </c>
    </row>
    <row r="521" spans="1:13" x14ac:dyDescent="0.35">
      <c r="A521">
        <v>0</v>
      </c>
      <c r="B521">
        <v>3403</v>
      </c>
      <c r="C521" t="s">
        <v>602</v>
      </c>
      <c r="D521" t="s">
        <v>1066</v>
      </c>
      <c r="E521" t="s">
        <v>1275</v>
      </c>
      <c r="F521">
        <v>4797381</v>
      </c>
      <c r="H521" t="s">
        <v>964</v>
      </c>
      <c r="I521">
        <v>381</v>
      </c>
      <c r="J521">
        <v>375</v>
      </c>
      <c r="K521" t="s">
        <v>1065</v>
      </c>
      <c r="L521" t="s">
        <v>965</v>
      </c>
      <c r="M521" t="s">
        <v>1276</v>
      </c>
    </row>
    <row r="522" spans="1:13" x14ac:dyDescent="0.35">
      <c r="A522">
        <v>102054</v>
      </c>
      <c r="B522">
        <v>2346</v>
      </c>
      <c r="C522" t="s">
        <v>602</v>
      </c>
      <c r="D522" t="s">
        <v>1277</v>
      </c>
      <c r="E522" t="s">
        <v>571</v>
      </c>
      <c r="G522">
        <v>22023</v>
      </c>
      <c r="H522" t="s">
        <v>964</v>
      </c>
      <c r="I522">
        <v>381</v>
      </c>
      <c r="J522">
        <v>382</v>
      </c>
      <c r="M522" t="s">
        <v>1278</v>
      </c>
    </row>
    <row r="523" spans="1:13" x14ac:dyDescent="0.35">
      <c r="A523">
        <v>104445</v>
      </c>
      <c r="B523">
        <v>3402</v>
      </c>
      <c r="C523" t="s">
        <v>602</v>
      </c>
      <c r="D523" t="s">
        <v>1066</v>
      </c>
      <c r="E523" t="s">
        <v>1279</v>
      </c>
      <c r="F523">
        <v>4797321</v>
      </c>
      <c r="H523" t="s">
        <v>964</v>
      </c>
      <c r="I523">
        <v>380</v>
      </c>
      <c r="J523">
        <v>374</v>
      </c>
      <c r="K523" t="s">
        <v>1065</v>
      </c>
      <c r="L523" t="s">
        <v>965</v>
      </c>
      <c r="M523" t="s">
        <v>1280</v>
      </c>
    </row>
    <row r="524" spans="1:13" x14ac:dyDescent="0.35">
      <c r="A524">
        <v>0</v>
      </c>
      <c r="B524">
        <v>3536</v>
      </c>
      <c r="C524" t="s">
        <v>602</v>
      </c>
      <c r="D524" t="s">
        <v>1277</v>
      </c>
      <c r="E524" t="s">
        <v>1281</v>
      </c>
      <c r="G524">
        <v>0</v>
      </c>
      <c r="H524" t="s">
        <v>964</v>
      </c>
      <c r="I524">
        <v>380</v>
      </c>
      <c r="J524">
        <v>381</v>
      </c>
      <c r="M524" t="s">
        <v>1281</v>
      </c>
    </row>
    <row r="525" spans="1:13" x14ac:dyDescent="0.35">
      <c r="A525">
        <v>104489</v>
      </c>
      <c r="B525">
        <v>3534</v>
      </c>
      <c r="C525" t="s">
        <v>602</v>
      </c>
      <c r="D525" t="s">
        <v>1282</v>
      </c>
      <c r="E525" t="s">
        <v>547</v>
      </c>
      <c r="G525">
        <v>229663</v>
      </c>
      <c r="H525" t="s">
        <v>964</v>
      </c>
      <c r="I525">
        <v>379</v>
      </c>
      <c r="J525">
        <v>380</v>
      </c>
      <c r="K525" t="s">
        <v>1283</v>
      </c>
      <c r="L525" t="s">
        <v>965</v>
      </c>
      <c r="M525" t="s">
        <v>1284</v>
      </c>
    </row>
    <row r="526" spans="1:13" x14ac:dyDescent="0.35">
      <c r="A526">
        <v>104444</v>
      </c>
      <c r="B526">
        <v>3401</v>
      </c>
      <c r="C526" t="s">
        <v>602</v>
      </c>
      <c r="D526" t="s">
        <v>1066</v>
      </c>
      <c r="E526" t="s">
        <v>1285</v>
      </c>
      <c r="F526">
        <v>4797395</v>
      </c>
      <c r="H526" t="s">
        <v>964</v>
      </c>
      <c r="I526">
        <v>379</v>
      </c>
      <c r="J526">
        <v>373</v>
      </c>
      <c r="K526" t="s">
        <v>1065</v>
      </c>
      <c r="L526" t="s">
        <v>965</v>
      </c>
      <c r="M526" t="s">
        <v>1286</v>
      </c>
    </row>
    <row r="527" spans="1:13" x14ac:dyDescent="0.35">
      <c r="A527">
        <v>101931</v>
      </c>
      <c r="B527">
        <v>2325</v>
      </c>
      <c r="C527" t="s">
        <v>602</v>
      </c>
      <c r="D527" t="s">
        <v>1287</v>
      </c>
      <c r="E527" t="s">
        <v>531</v>
      </c>
      <c r="G527">
        <v>1029</v>
      </c>
      <c r="H527" t="s">
        <v>964</v>
      </c>
      <c r="I527">
        <v>378</v>
      </c>
      <c r="J527">
        <v>379</v>
      </c>
      <c r="L527" t="s">
        <v>965</v>
      </c>
      <c r="M527" t="s">
        <v>1288</v>
      </c>
    </row>
    <row r="528" spans="1:13" x14ac:dyDescent="0.35">
      <c r="A528">
        <v>104453</v>
      </c>
      <c r="B528">
        <v>3400</v>
      </c>
      <c r="C528" t="s">
        <v>602</v>
      </c>
      <c r="D528" t="s">
        <v>1066</v>
      </c>
      <c r="E528" t="s">
        <v>1289</v>
      </c>
      <c r="F528">
        <v>4797014</v>
      </c>
      <c r="H528" t="s">
        <v>964</v>
      </c>
      <c r="I528">
        <v>378</v>
      </c>
      <c r="J528">
        <v>372</v>
      </c>
      <c r="K528" t="s">
        <v>1065</v>
      </c>
      <c r="L528" t="s">
        <v>965</v>
      </c>
      <c r="M528" t="s">
        <v>1290</v>
      </c>
    </row>
    <row r="529" spans="1:13" x14ac:dyDescent="0.35">
      <c r="A529">
        <v>101598</v>
      </c>
      <c r="B529">
        <v>1191</v>
      </c>
      <c r="C529" t="s">
        <v>602</v>
      </c>
      <c r="D529" t="s">
        <v>962</v>
      </c>
      <c r="E529" t="s">
        <v>1291</v>
      </c>
      <c r="F529">
        <v>4561</v>
      </c>
      <c r="G529">
        <v>222902</v>
      </c>
      <c r="H529" t="s">
        <v>964</v>
      </c>
      <c r="I529">
        <v>378</v>
      </c>
      <c r="J529">
        <v>362</v>
      </c>
      <c r="K529" t="s">
        <v>1051</v>
      </c>
      <c r="L529" t="s">
        <v>965</v>
      </c>
      <c r="M529" t="s">
        <v>1292</v>
      </c>
    </row>
    <row r="530" spans="1:13" x14ac:dyDescent="0.35">
      <c r="A530">
        <v>104479</v>
      </c>
      <c r="B530">
        <v>3399</v>
      </c>
      <c r="C530" t="s">
        <v>602</v>
      </c>
      <c r="D530" t="s">
        <v>1066</v>
      </c>
      <c r="E530" t="s">
        <v>1293</v>
      </c>
      <c r="F530">
        <v>4797034</v>
      </c>
      <c r="H530" t="s">
        <v>964</v>
      </c>
      <c r="I530">
        <v>377</v>
      </c>
      <c r="J530">
        <v>371</v>
      </c>
      <c r="K530" t="s">
        <v>1065</v>
      </c>
      <c r="L530" t="s">
        <v>965</v>
      </c>
      <c r="M530" t="s">
        <v>1294</v>
      </c>
    </row>
    <row r="531" spans="1:13" x14ac:dyDescent="0.35">
      <c r="A531">
        <v>0</v>
      </c>
      <c r="B531">
        <v>3533</v>
      </c>
      <c r="C531" t="s">
        <v>602</v>
      </c>
      <c r="D531" t="s">
        <v>1287</v>
      </c>
      <c r="E531" t="s">
        <v>1295</v>
      </c>
      <c r="G531">
        <v>0</v>
      </c>
      <c r="H531" t="s">
        <v>964</v>
      </c>
      <c r="I531">
        <v>377</v>
      </c>
      <c r="J531">
        <v>378</v>
      </c>
      <c r="L531" t="s">
        <v>965</v>
      </c>
      <c r="M531" t="s">
        <v>1295</v>
      </c>
    </row>
    <row r="532" spans="1:13" x14ac:dyDescent="0.35">
      <c r="A532">
        <v>104432</v>
      </c>
      <c r="B532">
        <v>3398</v>
      </c>
      <c r="C532" t="s">
        <v>602</v>
      </c>
      <c r="D532" t="s">
        <v>1066</v>
      </c>
      <c r="E532" t="s">
        <v>1296</v>
      </c>
      <c r="F532">
        <v>4797011</v>
      </c>
      <c r="H532" t="s">
        <v>964</v>
      </c>
      <c r="I532">
        <v>376</v>
      </c>
      <c r="J532">
        <v>370</v>
      </c>
      <c r="K532" t="s">
        <v>1065</v>
      </c>
      <c r="L532" t="s">
        <v>965</v>
      </c>
      <c r="M532" t="s">
        <v>1297</v>
      </c>
    </row>
    <row r="533" spans="1:13" x14ac:dyDescent="0.35">
      <c r="A533">
        <v>104419</v>
      </c>
      <c r="B533">
        <v>3514</v>
      </c>
      <c r="C533" t="s">
        <v>602</v>
      </c>
      <c r="D533" t="s">
        <v>1298</v>
      </c>
      <c r="E533" t="s">
        <v>559</v>
      </c>
      <c r="G533">
        <v>1715</v>
      </c>
      <c r="H533" t="s">
        <v>964</v>
      </c>
      <c r="I533">
        <v>376</v>
      </c>
      <c r="J533">
        <v>377</v>
      </c>
      <c r="L533" t="s">
        <v>965</v>
      </c>
      <c r="M533" t="s">
        <v>1299</v>
      </c>
    </row>
    <row r="534" spans="1:13" x14ac:dyDescent="0.35">
      <c r="A534">
        <v>0</v>
      </c>
      <c r="B534">
        <v>3532</v>
      </c>
      <c r="C534" t="s">
        <v>602</v>
      </c>
      <c r="D534" t="s">
        <v>1298</v>
      </c>
      <c r="E534" t="s">
        <v>1300</v>
      </c>
      <c r="G534">
        <v>0</v>
      </c>
      <c r="H534" t="s">
        <v>964</v>
      </c>
      <c r="I534">
        <v>375</v>
      </c>
      <c r="J534">
        <v>376</v>
      </c>
      <c r="L534" t="s">
        <v>965</v>
      </c>
      <c r="M534" t="s">
        <v>1300</v>
      </c>
    </row>
    <row r="535" spans="1:13" x14ac:dyDescent="0.35">
      <c r="A535">
        <v>808080</v>
      </c>
      <c r="B535">
        <v>3546</v>
      </c>
      <c r="C535" t="s">
        <v>602</v>
      </c>
      <c r="D535" t="s">
        <v>1301</v>
      </c>
      <c r="E535" t="s">
        <v>1302</v>
      </c>
      <c r="G535">
        <v>0</v>
      </c>
      <c r="I535">
        <v>375</v>
      </c>
      <c r="J535">
        <v>376</v>
      </c>
      <c r="M535" t="s">
        <v>1303</v>
      </c>
    </row>
    <row r="536" spans="1:13" x14ac:dyDescent="0.35">
      <c r="A536">
        <v>103899</v>
      </c>
      <c r="B536">
        <v>2585</v>
      </c>
      <c r="C536" t="s">
        <v>602</v>
      </c>
      <c r="D536" t="s">
        <v>1304</v>
      </c>
      <c r="E536" t="s">
        <v>41</v>
      </c>
      <c r="G536">
        <v>225356</v>
      </c>
      <c r="H536" t="s">
        <v>964</v>
      </c>
      <c r="I536">
        <v>374</v>
      </c>
      <c r="J536">
        <v>375</v>
      </c>
      <c r="L536" t="s">
        <v>965</v>
      </c>
      <c r="M536" t="s">
        <v>1305</v>
      </c>
    </row>
    <row r="537" spans="1:13" x14ac:dyDescent="0.35">
      <c r="A537">
        <v>0</v>
      </c>
      <c r="B537">
        <v>3531</v>
      </c>
      <c r="C537" t="s">
        <v>602</v>
      </c>
      <c r="D537" t="s">
        <v>1304</v>
      </c>
      <c r="E537" t="s">
        <v>1306</v>
      </c>
      <c r="G537">
        <v>0</v>
      </c>
      <c r="H537" t="s">
        <v>964</v>
      </c>
      <c r="I537">
        <v>373</v>
      </c>
      <c r="J537">
        <v>374</v>
      </c>
      <c r="L537" t="s">
        <v>965</v>
      </c>
      <c r="M537" t="s">
        <v>1306</v>
      </c>
    </row>
    <row r="538" spans="1:13" x14ac:dyDescent="0.35">
      <c r="A538">
        <v>0</v>
      </c>
      <c r="B538">
        <v>3520</v>
      </c>
      <c r="C538" t="s">
        <v>1242</v>
      </c>
      <c r="D538" t="s">
        <v>1243</v>
      </c>
      <c r="E538" t="s">
        <v>1307</v>
      </c>
      <c r="F538">
        <v>35</v>
      </c>
      <c r="G538">
        <v>0</v>
      </c>
      <c r="I538">
        <v>372</v>
      </c>
      <c r="J538">
        <v>373</v>
      </c>
      <c r="K538" t="s">
        <v>1245</v>
      </c>
    </row>
    <row r="539" spans="1:13" x14ac:dyDescent="0.35">
      <c r="A539">
        <v>0</v>
      </c>
      <c r="B539">
        <v>3591</v>
      </c>
      <c r="C539" t="s">
        <v>1308</v>
      </c>
      <c r="D539" t="s">
        <v>1066</v>
      </c>
      <c r="E539" t="s">
        <v>1309</v>
      </c>
      <c r="G539">
        <v>0</v>
      </c>
      <c r="H539" t="s">
        <v>964</v>
      </c>
      <c r="I539">
        <v>371</v>
      </c>
      <c r="J539">
        <v>365</v>
      </c>
      <c r="L539" t="s">
        <v>965</v>
      </c>
      <c r="M539" t="s">
        <v>1310</v>
      </c>
    </row>
    <row r="540" spans="1:13" x14ac:dyDescent="0.35">
      <c r="A540">
        <v>0</v>
      </c>
      <c r="B540">
        <v>3521</v>
      </c>
      <c r="C540" t="s">
        <v>1242</v>
      </c>
      <c r="D540" t="s">
        <v>1243</v>
      </c>
      <c r="E540" t="s">
        <v>1311</v>
      </c>
      <c r="F540">
        <v>36</v>
      </c>
      <c r="G540">
        <v>0</v>
      </c>
      <c r="I540">
        <v>371</v>
      </c>
      <c r="J540">
        <v>372</v>
      </c>
      <c r="K540" t="s">
        <v>1312</v>
      </c>
    </row>
    <row r="541" spans="1:13" x14ac:dyDescent="0.35">
      <c r="A541">
        <v>0</v>
      </c>
      <c r="B541">
        <v>3590</v>
      </c>
      <c r="C541" t="s">
        <v>1308</v>
      </c>
      <c r="D541" t="s">
        <v>1066</v>
      </c>
      <c r="E541" t="s">
        <v>1313</v>
      </c>
      <c r="G541">
        <v>0</v>
      </c>
      <c r="H541" t="s">
        <v>964</v>
      </c>
      <c r="I541">
        <v>370</v>
      </c>
      <c r="J541">
        <v>364</v>
      </c>
      <c r="L541" t="s">
        <v>965</v>
      </c>
      <c r="M541" t="s">
        <v>1314</v>
      </c>
    </row>
    <row r="542" spans="1:13" x14ac:dyDescent="0.35">
      <c r="A542">
        <v>0</v>
      </c>
      <c r="B542">
        <v>3589</v>
      </c>
      <c r="C542" t="s">
        <v>1308</v>
      </c>
      <c r="D542" t="s">
        <v>1066</v>
      </c>
      <c r="E542" t="s">
        <v>1315</v>
      </c>
      <c r="G542">
        <v>0</v>
      </c>
      <c r="H542" t="s">
        <v>1147</v>
      </c>
      <c r="I542">
        <v>369</v>
      </c>
      <c r="J542">
        <v>363</v>
      </c>
      <c r="L542" t="s">
        <v>965</v>
      </c>
      <c r="M542" t="s">
        <v>1316</v>
      </c>
    </row>
    <row r="543" spans="1:13" x14ac:dyDescent="0.35">
      <c r="A543">
        <v>0</v>
      </c>
      <c r="B543">
        <v>3588</v>
      </c>
      <c r="C543" t="s">
        <v>1308</v>
      </c>
      <c r="D543" t="s">
        <v>1066</v>
      </c>
      <c r="E543" t="s">
        <v>1317</v>
      </c>
      <c r="G543">
        <v>0</v>
      </c>
      <c r="H543" t="s">
        <v>964</v>
      </c>
      <c r="I543">
        <v>368</v>
      </c>
      <c r="J543">
        <v>362</v>
      </c>
      <c r="L543" t="s">
        <v>965</v>
      </c>
      <c r="M543" t="s">
        <v>1318</v>
      </c>
    </row>
    <row r="544" spans="1:13" x14ac:dyDescent="0.35">
      <c r="A544">
        <v>0</v>
      </c>
      <c r="B544">
        <v>3587</v>
      </c>
      <c r="C544" t="s">
        <v>1308</v>
      </c>
      <c r="D544" t="s">
        <v>1066</v>
      </c>
      <c r="E544" t="s">
        <v>1319</v>
      </c>
      <c r="G544">
        <v>0</v>
      </c>
      <c r="H544" t="s">
        <v>1147</v>
      </c>
      <c r="I544">
        <v>367</v>
      </c>
      <c r="J544">
        <v>361</v>
      </c>
      <c r="L544" t="s">
        <v>965</v>
      </c>
      <c r="M544" t="s">
        <v>1320</v>
      </c>
    </row>
    <row r="545" spans="1:13" x14ac:dyDescent="0.35">
      <c r="A545">
        <v>0</v>
      </c>
      <c r="B545">
        <v>3586</v>
      </c>
      <c r="C545" t="s">
        <v>1308</v>
      </c>
      <c r="D545" t="s">
        <v>1066</v>
      </c>
      <c r="E545" t="s">
        <v>1321</v>
      </c>
      <c r="G545">
        <v>0</v>
      </c>
      <c r="H545" t="s">
        <v>964</v>
      </c>
      <c r="I545">
        <v>366</v>
      </c>
      <c r="J545">
        <v>360</v>
      </c>
      <c r="L545" t="s">
        <v>965</v>
      </c>
      <c r="M545" t="s">
        <v>1322</v>
      </c>
    </row>
    <row r="546" spans="1:13" x14ac:dyDescent="0.35">
      <c r="A546">
        <v>0</v>
      </c>
      <c r="B546">
        <v>3585</v>
      </c>
      <c r="C546" t="s">
        <v>1308</v>
      </c>
      <c r="D546" t="s">
        <v>1066</v>
      </c>
      <c r="E546" t="s">
        <v>1323</v>
      </c>
      <c r="G546">
        <v>0</v>
      </c>
      <c r="H546" t="s">
        <v>1147</v>
      </c>
      <c r="I546">
        <v>365</v>
      </c>
      <c r="J546">
        <v>359</v>
      </c>
      <c r="L546" t="s">
        <v>965</v>
      </c>
      <c r="M546" t="s">
        <v>1324</v>
      </c>
    </row>
    <row r="547" spans="1:13" x14ac:dyDescent="0.35">
      <c r="A547">
        <v>101418</v>
      </c>
      <c r="B547">
        <v>1033</v>
      </c>
      <c r="C547" t="s">
        <v>602</v>
      </c>
      <c r="D547" t="s">
        <v>962</v>
      </c>
      <c r="E547" t="s">
        <v>1325</v>
      </c>
      <c r="F547">
        <v>3524</v>
      </c>
      <c r="G547">
        <v>220104</v>
      </c>
      <c r="H547" t="s">
        <v>964</v>
      </c>
      <c r="I547">
        <v>365</v>
      </c>
      <c r="J547">
        <v>349</v>
      </c>
      <c r="K547" t="s">
        <v>1051</v>
      </c>
      <c r="L547" t="s">
        <v>980</v>
      </c>
      <c r="M547" t="s">
        <v>1326</v>
      </c>
    </row>
    <row r="548" spans="1:13" x14ac:dyDescent="0.35">
      <c r="A548">
        <v>777700</v>
      </c>
      <c r="B548">
        <v>3177</v>
      </c>
      <c r="C548" t="s">
        <v>602</v>
      </c>
      <c r="D548" t="s">
        <v>1301</v>
      </c>
      <c r="E548" t="s">
        <v>1327</v>
      </c>
      <c r="G548">
        <v>0</v>
      </c>
      <c r="H548" t="s">
        <v>964</v>
      </c>
      <c r="I548">
        <v>358</v>
      </c>
      <c r="J548">
        <v>359</v>
      </c>
      <c r="K548" t="s">
        <v>1328</v>
      </c>
      <c r="L548" t="s">
        <v>965</v>
      </c>
      <c r="M548" t="s">
        <v>1329</v>
      </c>
    </row>
    <row r="549" spans="1:13" x14ac:dyDescent="0.35">
      <c r="A549">
        <v>102015</v>
      </c>
      <c r="B549">
        <v>2342</v>
      </c>
      <c r="C549" t="s">
        <v>602</v>
      </c>
      <c r="D549" t="s">
        <v>1330</v>
      </c>
      <c r="E549" t="s">
        <v>445</v>
      </c>
      <c r="G549">
        <v>219838</v>
      </c>
      <c r="H549" t="s">
        <v>964</v>
      </c>
      <c r="I549">
        <v>358</v>
      </c>
      <c r="J549">
        <v>359</v>
      </c>
      <c r="K549" t="s">
        <v>1331</v>
      </c>
      <c r="L549" t="s">
        <v>980</v>
      </c>
      <c r="M549" t="s">
        <v>1332</v>
      </c>
    </row>
    <row r="550" spans="1:13" x14ac:dyDescent="0.35">
      <c r="A550">
        <v>0</v>
      </c>
      <c r="B550">
        <v>3513</v>
      </c>
      <c r="C550" t="s">
        <v>602</v>
      </c>
      <c r="D550" t="s">
        <v>1330</v>
      </c>
      <c r="E550" t="s">
        <v>1333</v>
      </c>
      <c r="G550">
        <v>0</v>
      </c>
      <c r="H550" t="s">
        <v>964</v>
      </c>
      <c r="I550">
        <v>357</v>
      </c>
      <c r="J550">
        <v>358</v>
      </c>
      <c r="K550" t="s">
        <v>1331</v>
      </c>
      <c r="L550" t="s">
        <v>980</v>
      </c>
      <c r="M550" t="s">
        <v>1333</v>
      </c>
    </row>
    <row r="551" spans="1:13" x14ac:dyDescent="0.35">
      <c r="A551">
        <v>0</v>
      </c>
      <c r="B551">
        <v>3216</v>
      </c>
      <c r="C551" t="s">
        <v>602</v>
      </c>
      <c r="D551" t="s">
        <v>1301</v>
      </c>
      <c r="E551" t="s">
        <v>1334</v>
      </c>
      <c r="G551">
        <v>0</v>
      </c>
      <c r="I551">
        <v>357</v>
      </c>
      <c r="J551">
        <v>358</v>
      </c>
      <c r="M551" t="s">
        <v>1335</v>
      </c>
    </row>
    <row r="552" spans="1:13" x14ac:dyDescent="0.35">
      <c r="A552">
        <v>104334</v>
      </c>
      <c r="B552">
        <v>3084</v>
      </c>
      <c r="C552" t="s">
        <v>602</v>
      </c>
      <c r="D552" t="s">
        <v>1336</v>
      </c>
      <c r="E552" t="s">
        <v>1337</v>
      </c>
      <c r="F552">
        <v>693</v>
      </c>
      <c r="G552">
        <v>228426</v>
      </c>
      <c r="H552" t="s">
        <v>964</v>
      </c>
      <c r="I552">
        <v>356</v>
      </c>
      <c r="J552">
        <v>357</v>
      </c>
      <c r="L552" t="s">
        <v>965</v>
      </c>
      <c r="M552" t="s">
        <v>1338</v>
      </c>
    </row>
    <row r="553" spans="1:13" x14ac:dyDescent="0.35">
      <c r="A553">
        <v>101232</v>
      </c>
      <c r="B553">
        <v>1343</v>
      </c>
      <c r="C553" t="s">
        <v>602</v>
      </c>
      <c r="D553" t="s">
        <v>1336</v>
      </c>
      <c r="E553" t="s">
        <v>1339</v>
      </c>
      <c r="F553">
        <v>692</v>
      </c>
      <c r="G553">
        <v>1167</v>
      </c>
      <c r="H553" t="s">
        <v>964</v>
      </c>
      <c r="I553">
        <v>355</v>
      </c>
      <c r="J553">
        <v>356</v>
      </c>
      <c r="L553" t="s">
        <v>965</v>
      </c>
      <c r="M553" t="s">
        <v>1340</v>
      </c>
    </row>
    <row r="554" spans="1:13" x14ac:dyDescent="0.35">
      <c r="A554">
        <v>0</v>
      </c>
      <c r="B554">
        <v>3581</v>
      </c>
      <c r="C554" t="s">
        <v>1308</v>
      </c>
      <c r="D554" t="s">
        <v>1066</v>
      </c>
      <c r="E554" t="s">
        <v>1341</v>
      </c>
      <c r="G554">
        <v>0</v>
      </c>
      <c r="H554" t="s">
        <v>964</v>
      </c>
      <c r="I554">
        <v>355</v>
      </c>
      <c r="J554">
        <v>358</v>
      </c>
      <c r="L554" t="s">
        <v>965</v>
      </c>
      <c r="M554" t="s">
        <v>1342</v>
      </c>
    </row>
    <row r="555" spans="1:13" x14ac:dyDescent="0.35">
      <c r="A555">
        <v>101455</v>
      </c>
      <c r="B555">
        <v>1061</v>
      </c>
      <c r="C555" t="s">
        <v>602</v>
      </c>
      <c r="D555" t="s">
        <v>962</v>
      </c>
      <c r="E555" t="s">
        <v>1343</v>
      </c>
      <c r="F555">
        <v>3517</v>
      </c>
      <c r="G555">
        <v>219014</v>
      </c>
      <c r="H555" t="s">
        <v>964</v>
      </c>
      <c r="I555">
        <v>355</v>
      </c>
      <c r="J555">
        <v>339</v>
      </c>
      <c r="K555" t="s">
        <v>1000</v>
      </c>
      <c r="L555" t="s">
        <v>965</v>
      </c>
      <c r="M555" t="s">
        <v>1344</v>
      </c>
    </row>
    <row r="556" spans="1:13" x14ac:dyDescent="0.35">
      <c r="A556">
        <v>0</v>
      </c>
      <c r="B556">
        <v>3584</v>
      </c>
      <c r="C556" t="s">
        <v>1308</v>
      </c>
      <c r="D556" t="s">
        <v>1066</v>
      </c>
      <c r="E556" t="s">
        <v>1345</v>
      </c>
      <c r="G556">
        <v>0</v>
      </c>
      <c r="H556" t="s">
        <v>964</v>
      </c>
      <c r="I556">
        <v>354</v>
      </c>
      <c r="J556">
        <v>357</v>
      </c>
      <c r="L556" t="s">
        <v>965</v>
      </c>
      <c r="M556" t="s">
        <v>1346</v>
      </c>
    </row>
    <row r="557" spans="1:13" x14ac:dyDescent="0.35">
      <c r="A557">
        <v>104278</v>
      </c>
      <c r="B557">
        <v>600</v>
      </c>
      <c r="C557" t="s">
        <v>602</v>
      </c>
      <c r="D557" t="s">
        <v>1336</v>
      </c>
      <c r="E557" t="s">
        <v>1347</v>
      </c>
      <c r="F557">
        <v>691</v>
      </c>
      <c r="G557">
        <v>227648</v>
      </c>
      <c r="H557" t="s">
        <v>964</v>
      </c>
      <c r="I557">
        <v>354</v>
      </c>
      <c r="J557">
        <v>355</v>
      </c>
      <c r="L557" t="s">
        <v>965</v>
      </c>
      <c r="M557" t="s">
        <v>1348</v>
      </c>
    </row>
    <row r="558" spans="1:13" x14ac:dyDescent="0.35">
      <c r="A558">
        <v>104332</v>
      </c>
      <c r="B558">
        <v>3171</v>
      </c>
      <c r="C558" t="s">
        <v>602</v>
      </c>
      <c r="D558" t="s">
        <v>1336</v>
      </c>
      <c r="E558" t="s">
        <v>1349</v>
      </c>
      <c r="F558">
        <v>690</v>
      </c>
      <c r="G558">
        <v>228424</v>
      </c>
      <c r="H558" t="s">
        <v>964</v>
      </c>
      <c r="I558">
        <v>353</v>
      </c>
      <c r="J558">
        <v>354</v>
      </c>
      <c r="L558" t="s">
        <v>965</v>
      </c>
      <c r="M558" t="s">
        <v>1350</v>
      </c>
    </row>
    <row r="559" spans="1:13" x14ac:dyDescent="0.35">
      <c r="A559">
        <v>0</v>
      </c>
      <c r="B559">
        <v>3583</v>
      </c>
      <c r="C559" t="s">
        <v>1308</v>
      </c>
      <c r="D559" t="s">
        <v>1066</v>
      </c>
      <c r="E559" t="s">
        <v>1351</v>
      </c>
      <c r="G559">
        <v>0</v>
      </c>
      <c r="H559" t="s">
        <v>964</v>
      </c>
      <c r="I559">
        <v>353</v>
      </c>
      <c r="J559">
        <v>356</v>
      </c>
      <c r="L559" t="s">
        <v>965</v>
      </c>
      <c r="M559" t="s">
        <v>1352</v>
      </c>
    </row>
    <row r="560" spans="1:13" x14ac:dyDescent="0.35">
      <c r="A560">
        <v>103234</v>
      </c>
      <c r="B560">
        <v>1875</v>
      </c>
      <c r="C560" t="s">
        <v>602</v>
      </c>
      <c r="D560" t="s">
        <v>1336</v>
      </c>
      <c r="E560" t="s">
        <v>1353</v>
      </c>
      <c r="F560">
        <v>689</v>
      </c>
      <c r="G560">
        <v>222321</v>
      </c>
      <c r="H560" t="s">
        <v>964</v>
      </c>
      <c r="I560">
        <v>352</v>
      </c>
      <c r="J560">
        <v>353</v>
      </c>
      <c r="L560" t="s">
        <v>965</v>
      </c>
      <c r="M560" t="s">
        <v>1354</v>
      </c>
    </row>
    <row r="561" spans="1:13" x14ac:dyDescent="0.35">
      <c r="A561">
        <v>0</v>
      </c>
      <c r="B561">
        <v>3582</v>
      </c>
      <c r="C561" t="s">
        <v>1308</v>
      </c>
      <c r="D561" t="s">
        <v>1066</v>
      </c>
      <c r="E561" t="s">
        <v>1355</v>
      </c>
      <c r="G561">
        <v>0</v>
      </c>
      <c r="H561" t="s">
        <v>964</v>
      </c>
      <c r="I561">
        <v>352</v>
      </c>
      <c r="J561">
        <v>355</v>
      </c>
      <c r="L561" t="s">
        <v>965</v>
      </c>
      <c r="M561" t="s">
        <v>1356</v>
      </c>
    </row>
    <row r="562" spans="1:13" x14ac:dyDescent="0.35">
      <c r="A562">
        <v>104378</v>
      </c>
      <c r="B562">
        <v>3221</v>
      </c>
      <c r="C562" t="s">
        <v>602</v>
      </c>
      <c r="D562" t="s">
        <v>1066</v>
      </c>
      <c r="E562" t="s">
        <v>1357</v>
      </c>
      <c r="F562">
        <v>4167451</v>
      </c>
      <c r="G562">
        <v>229083</v>
      </c>
      <c r="H562" t="s">
        <v>964</v>
      </c>
      <c r="I562">
        <v>351</v>
      </c>
      <c r="J562">
        <v>354</v>
      </c>
      <c r="K562" t="s">
        <v>1068</v>
      </c>
      <c r="L562" t="s">
        <v>965</v>
      </c>
      <c r="M562" t="s">
        <v>1358</v>
      </c>
    </row>
    <row r="563" spans="1:13" x14ac:dyDescent="0.35">
      <c r="A563">
        <v>104373</v>
      </c>
      <c r="B563">
        <v>3215</v>
      </c>
      <c r="C563" t="s">
        <v>602</v>
      </c>
      <c r="D563" t="s">
        <v>1336</v>
      </c>
      <c r="E563" t="s">
        <v>1359</v>
      </c>
      <c r="F563">
        <v>688</v>
      </c>
      <c r="G563">
        <v>229026</v>
      </c>
      <c r="H563" t="s">
        <v>964</v>
      </c>
      <c r="I563">
        <v>351</v>
      </c>
      <c r="J563">
        <v>352</v>
      </c>
      <c r="L563" t="s">
        <v>965</v>
      </c>
      <c r="M563" t="s">
        <v>1360</v>
      </c>
    </row>
    <row r="564" spans="1:13" x14ac:dyDescent="0.35">
      <c r="A564">
        <v>103652</v>
      </c>
      <c r="B564">
        <v>1879</v>
      </c>
      <c r="C564" t="s">
        <v>602</v>
      </c>
      <c r="D564" t="s">
        <v>1336</v>
      </c>
      <c r="E564" t="s">
        <v>1361</v>
      </c>
      <c r="F564">
        <v>687</v>
      </c>
      <c r="G564">
        <v>223077</v>
      </c>
      <c r="H564" t="s">
        <v>964</v>
      </c>
      <c r="I564">
        <v>350</v>
      </c>
      <c r="J564">
        <v>351</v>
      </c>
      <c r="L564" t="s">
        <v>965</v>
      </c>
      <c r="M564" t="s">
        <v>1362</v>
      </c>
    </row>
    <row r="565" spans="1:13" x14ac:dyDescent="0.35">
      <c r="A565">
        <v>104353</v>
      </c>
      <c r="B565">
        <v>3212</v>
      </c>
      <c r="C565" t="s">
        <v>602</v>
      </c>
      <c r="D565" t="s">
        <v>1066</v>
      </c>
      <c r="E565" t="s">
        <v>1363</v>
      </c>
      <c r="F565">
        <v>4167401</v>
      </c>
      <c r="G565">
        <v>228878</v>
      </c>
      <c r="H565" t="s">
        <v>964</v>
      </c>
      <c r="I565">
        <v>350</v>
      </c>
      <c r="J565">
        <v>353</v>
      </c>
      <c r="K565" t="s">
        <v>1068</v>
      </c>
      <c r="L565" t="s">
        <v>965</v>
      </c>
      <c r="M565" t="s">
        <v>1364</v>
      </c>
    </row>
    <row r="566" spans="1:13" x14ac:dyDescent="0.35">
      <c r="A566">
        <v>104403</v>
      </c>
      <c r="B566">
        <v>3461</v>
      </c>
      <c r="C566" t="s">
        <v>602</v>
      </c>
      <c r="D566" t="s">
        <v>1336</v>
      </c>
      <c r="E566" t="s">
        <v>1365</v>
      </c>
      <c r="F566">
        <v>685</v>
      </c>
      <c r="G566">
        <v>227129</v>
      </c>
      <c r="H566" t="s">
        <v>964</v>
      </c>
      <c r="I566">
        <v>349</v>
      </c>
      <c r="J566">
        <v>350</v>
      </c>
      <c r="L566" t="s">
        <v>965</v>
      </c>
      <c r="M566" t="s">
        <v>1366</v>
      </c>
    </row>
    <row r="567" spans="1:13" x14ac:dyDescent="0.35">
      <c r="A567">
        <v>104377</v>
      </c>
      <c r="B567">
        <v>3214</v>
      </c>
      <c r="C567" t="s">
        <v>602</v>
      </c>
      <c r="D567" t="s">
        <v>1066</v>
      </c>
      <c r="E567" t="s">
        <v>1367</v>
      </c>
      <c r="F567">
        <v>4167447</v>
      </c>
      <c r="G567">
        <v>229082</v>
      </c>
      <c r="H567" t="s">
        <v>964</v>
      </c>
      <c r="I567">
        <v>349</v>
      </c>
      <c r="J567">
        <v>351</v>
      </c>
      <c r="K567" t="s">
        <v>1068</v>
      </c>
      <c r="L567" t="s">
        <v>965</v>
      </c>
    </row>
    <row r="568" spans="1:13" x14ac:dyDescent="0.35">
      <c r="A568">
        <v>104370</v>
      </c>
      <c r="B568">
        <v>3164</v>
      </c>
      <c r="C568" t="s">
        <v>602</v>
      </c>
      <c r="D568" t="s">
        <v>1066</v>
      </c>
      <c r="E568" t="s">
        <v>1368</v>
      </c>
      <c r="F568">
        <v>4166686</v>
      </c>
      <c r="G568">
        <v>288</v>
      </c>
      <c r="H568" t="s">
        <v>964</v>
      </c>
      <c r="I568">
        <v>348</v>
      </c>
      <c r="J568">
        <v>350</v>
      </c>
      <c r="K568" t="s">
        <v>1068</v>
      </c>
      <c r="L568" t="s">
        <v>965</v>
      </c>
      <c r="M568" t="s">
        <v>1369</v>
      </c>
    </row>
    <row r="569" spans="1:13" x14ac:dyDescent="0.35">
      <c r="A569">
        <v>104336</v>
      </c>
      <c r="B569">
        <v>2759</v>
      </c>
      <c r="C569" t="s">
        <v>602</v>
      </c>
      <c r="D569" t="s">
        <v>1336</v>
      </c>
      <c r="E569" t="s">
        <v>1370</v>
      </c>
      <c r="F569">
        <v>667</v>
      </c>
      <c r="G569">
        <v>228761</v>
      </c>
      <c r="H569" t="s">
        <v>964</v>
      </c>
      <c r="I569">
        <v>348</v>
      </c>
      <c r="J569">
        <v>349</v>
      </c>
      <c r="L569" t="s">
        <v>965</v>
      </c>
      <c r="M569" t="s">
        <v>1371</v>
      </c>
    </row>
    <row r="570" spans="1:13" x14ac:dyDescent="0.35">
      <c r="A570">
        <v>104355</v>
      </c>
      <c r="B570">
        <v>3162</v>
      </c>
      <c r="C570" t="s">
        <v>602</v>
      </c>
      <c r="D570" t="s">
        <v>1066</v>
      </c>
      <c r="E570" t="s">
        <v>1372</v>
      </c>
      <c r="F570">
        <v>4167461</v>
      </c>
      <c r="G570">
        <v>228900</v>
      </c>
      <c r="H570" t="s">
        <v>964</v>
      </c>
      <c r="I570">
        <v>347</v>
      </c>
      <c r="J570">
        <v>349</v>
      </c>
      <c r="K570" t="s">
        <v>1068</v>
      </c>
      <c r="L570" t="s">
        <v>965</v>
      </c>
      <c r="M570" t="s">
        <v>1373</v>
      </c>
    </row>
    <row r="571" spans="1:13" x14ac:dyDescent="0.35">
      <c r="A571">
        <v>104333</v>
      </c>
      <c r="B571">
        <v>2653</v>
      </c>
      <c r="C571" t="s">
        <v>602</v>
      </c>
      <c r="D571" t="s">
        <v>1336</v>
      </c>
      <c r="E571" t="s">
        <v>1374</v>
      </c>
      <c r="F571">
        <v>658</v>
      </c>
      <c r="G571">
        <v>228425</v>
      </c>
      <c r="H571" t="s">
        <v>964</v>
      </c>
      <c r="I571">
        <v>347</v>
      </c>
      <c r="J571">
        <v>348</v>
      </c>
      <c r="L571" t="s">
        <v>965</v>
      </c>
      <c r="M571" t="s">
        <v>1375</v>
      </c>
    </row>
    <row r="572" spans="1:13" x14ac:dyDescent="0.35">
      <c r="A572">
        <v>123456</v>
      </c>
      <c r="B572">
        <v>3103</v>
      </c>
      <c r="C572" t="s">
        <v>602</v>
      </c>
      <c r="D572" t="s">
        <v>1301</v>
      </c>
      <c r="E572" t="s">
        <v>1376</v>
      </c>
      <c r="F572">
        <v>98371</v>
      </c>
      <c r="I572">
        <v>347</v>
      </c>
      <c r="J572">
        <v>346</v>
      </c>
      <c r="M572" t="s">
        <v>1376</v>
      </c>
    </row>
    <row r="573" spans="1:13" x14ac:dyDescent="0.35">
      <c r="A573">
        <v>0</v>
      </c>
      <c r="B573">
        <v>3104</v>
      </c>
      <c r="C573" t="s">
        <v>602</v>
      </c>
      <c r="D573" t="s">
        <v>1066</v>
      </c>
      <c r="E573" t="s">
        <v>1377</v>
      </c>
      <c r="F573">
        <v>4799001</v>
      </c>
      <c r="I573">
        <v>346</v>
      </c>
      <c r="J573">
        <v>348</v>
      </c>
      <c r="K573" t="s">
        <v>1068</v>
      </c>
      <c r="L573" t="s">
        <v>965</v>
      </c>
      <c r="M573" t="s">
        <v>1378</v>
      </c>
    </row>
    <row r="574" spans="1:13" x14ac:dyDescent="0.35">
      <c r="A574">
        <v>0</v>
      </c>
      <c r="B574">
        <v>3455</v>
      </c>
      <c r="C574" t="s">
        <v>602</v>
      </c>
      <c r="D574" t="s">
        <v>1066</v>
      </c>
      <c r="E574" t="s">
        <v>1379</v>
      </c>
      <c r="F574">
        <v>4799001</v>
      </c>
      <c r="G574">
        <v>0</v>
      </c>
      <c r="H574" t="s">
        <v>964</v>
      </c>
      <c r="I574">
        <v>346</v>
      </c>
      <c r="J574">
        <v>348</v>
      </c>
      <c r="K574" t="s">
        <v>1065</v>
      </c>
      <c r="L574" t="s">
        <v>965</v>
      </c>
      <c r="M574" t="s">
        <v>1378</v>
      </c>
    </row>
    <row r="575" spans="1:13" x14ac:dyDescent="0.35">
      <c r="A575">
        <v>0</v>
      </c>
      <c r="B575">
        <v>3074</v>
      </c>
      <c r="C575" t="s">
        <v>602</v>
      </c>
      <c r="D575" t="s">
        <v>1301</v>
      </c>
      <c r="E575" t="s">
        <v>1380</v>
      </c>
      <c r="F575">
        <v>7300</v>
      </c>
      <c r="I575">
        <v>346</v>
      </c>
      <c r="J575">
        <v>345</v>
      </c>
      <c r="M575" t="s">
        <v>1380</v>
      </c>
    </row>
    <row r="576" spans="1:13" x14ac:dyDescent="0.35">
      <c r="A576">
        <v>104205</v>
      </c>
      <c r="B576">
        <v>1890</v>
      </c>
      <c r="C576" t="s">
        <v>602</v>
      </c>
      <c r="D576" t="s">
        <v>1336</v>
      </c>
      <c r="E576" t="s">
        <v>1381</v>
      </c>
      <c r="F576">
        <v>628</v>
      </c>
      <c r="G576">
        <v>227068</v>
      </c>
      <c r="H576" t="s">
        <v>964</v>
      </c>
      <c r="I576">
        <v>346</v>
      </c>
      <c r="J576">
        <v>347</v>
      </c>
      <c r="L576" t="s">
        <v>965</v>
      </c>
      <c r="M576" t="s">
        <v>1382</v>
      </c>
    </row>
    <row r="577" spans="1:13" x14ac:dyDescent="0.35">
      <c r="A577">
        <v>103079</v>
      </c>
      <c r="B577">
        <v>1871</v>
      </c>
      <c r="C577" t="s">
        <v>602</v>
      </c>
      <c r="D577" t="s">
        <v>1336</v>
      </c>
      <c r="E577" t="s">
        <v>1383</v>
      </c>
      <c r="F577">
        <v>622</v>
      </c>
      <c r="G577">
        <v>1275</v>
      </c>
      <c r="H577" t="s">
        <v>964</v>
      </c>
      <c r="I577">
        <v>345</v>
      </c>
      <c r="J577">
        <v>346</v>
      </c>
      <c r="L577" t="s">
        <v>965</v>
      </c>
      <c r="M577" t="s">
        <v>1384</v>
      </c>
    </row>
    <row r="578" spans="1:13" x14ac:dyDescent="0.35">
      <c r="A578">
        <v>104356</v>
      </c>
      <c r="B578">
        <v>3088</v>
      </c>
      <c r="C578" t="s">
        <v>597</v>
      </c>
      <c r="D578" t="s">
        <v>1066</v>
      </c>
      <c r="E578" t="s">
        <v>1385</v>
      </c>
      <c r="F578">
        <v>4163210</v>
      </c>
      <c r="G578">
        <v>228901</v>
      </c>
      <c r="I578">
        <v>345</v>
      </c>
      <c r="J578">
        <v>347</v>
      </c>
      <c r="M578" t="s">
        <v>1386</v>
      </c>
    </row>
    <row r="579" spans="1:13" x14ac:dyDescent="0.35">
      <c r="A579">
        <v>0</v>
      </c>
      <c r="B579">
        <v>3073</v>
      </c>
      <c r="C579" t="s">
        <v>602</v>
      </c>
      <c r="D579" t="s">
        <v>1301</v>
      </c>
      <c r="E579" t="s">
        <v>1387</v>
      </c>
      <c r="F579">
        <v>7299</v>
      </c>
      <c r="I579">
        <v>345</v>
      </c>
      <c r="J579">
        <v>344</v>
      </c>
      <c r="M579" t="s">
        <v>1387</v>
      </c>
    </row>
    <row r="580" spans="1:13" x14ac:dyDescent="0.35">
      <c r="A580">
        <v>0</v>
      </c>
      <c r="B580">
        <v>3072</v>
      </c>
      <c r="C580" t="s">
        <v>602</v>
      </c>
      <c r="D580" t="s">
        <v>1301</v>
      </c>
      <c r="E580" t="s">
        <v>1388</v>
      </c>
      <c r="F580">
        <v>7298</v>
      </c>
      <c r="I580">
        <v>344</v>
      </c>
      <c r="J580">
        <v>343</v>
      </c>
      <c r="M580" t="s">
        <v>1388</v>
      </c>
    </row>
    <row r="581" spans="1:13" x14ac:dyDescent="0.35">
      <c r="A581">
        <v>104367</v>
      </c>
      <c r="B581">
        <v>3098</v>
      </c>
      <c r="C581" t="s">
        <v>602</v>
      </c>
      <c r="D581" t="s">
        <v>1389</v>
      </c>
      <c r="E581" t="s">
        <v>1390</v>
      </c>
      <c r="F581">
        <v>4163210</v>
      </c>
      <c r="G581">
        <v>228915</v>
      </c>
      <c r="H581" t="s">
        <v>964</v>
      </c>
      <c r="I581">
        <v>344</v>
      </c>
      <c r="J581">
        <v>346</v>
      </c>
      <c r="K581" t="s">
        <v>1391</v>
      </c>
      <c r="M581" t="s">
        <v>1392</v>
      </c>
    </row>
    <row r="582" spans="1:13" x14ac:dyDescent="0.35">
      <c r="A582">
        <v>102717</v>
      </c>
      <c r="B582">
        <v>1868</v>
      </c>
      <c r="C582" t="s">
        <v>602</v>
      </c>
      <c r="D582" t="s">
        <v>1336</v>
      </c>
      <c r="E582" t="s">
        <v>1393</v>
      </c>
      <c r="F582">
        <v>616</v>
      </c>
      <c r="G582">
        <v>13954</v>
      </c>
      <c r="H582" t="s">
        <v>964</v>
      </c>
      <c r="I582">
        <v>344</v>
      </c>
      <c r="J582">
        <v>345</v>
      </c>
      <c r="L582" t="s">
        <v>965</v>
      </c>
      <c r="M582" t="s">
        <v>1394</v>
      </c>
    </row>
    <row r="583" spans="1:13" x14ac:dyDescent="0.35">
      <c r="A583">
        <v>104366</v>
      </c>
      <c r="B583">
        <v>3096</v>
      </c>
      <c r="C583" t="s">
        <v>602</v>
      </c>
      <c r="D583" t="s">
        <v>1389</v>
      </c>
      <c r="E583" t="s">
        <v>1395</v>
      </c>
      <c r="F583">
        <v>4163208</v>
      </c>
      <c r="G583">
        <v>228914</v>
      </c>
      <c r="H583" t="s">
        <v>964</v>
      </c>
      <c r="I583">
        <v>343</v>
      </c>
      <c r="J583">
        <v>345</v>
      </c>
      <c r="K583" t="s">
        <v>1391</v>
      </c>
      <c r="M583" t="s">
        <v>1396</v>
      </c>
    </row>
    <row r="584" spans="1:13" x14ac:dyDescent="0.35">
      <c r="A584">
        <v>104117</v>
      </c>
      <c r="B584">
        <v>866</v>
      </c>
      <c r="C584" t="s">
        <v>602</v>
      </c>
      <c r="D584" t="s">
        <v>1336</v>
      </c>
      <c r="E584" t="s">
        <v>1397</v>
      </c>
      <c r="F584">
        <v>615</v>
      </c>
      <c r="G584">
        <v>226385</v>
      </c>
      <c r="H584" t="s">
        <v>964</v>
      </c>
      <c r="I584">
        <v>343</v>
      </c>
      <c r="J584">
        <v>344</v>
      </c>
      <c r="L584" t="s">
        <v>965</v>
      </c>
      <c r="M584" t="s">
        <v>1398</v>
      </c>
    </row>
    <row r="585" spans="1:13" x14ac:dyDescent="0.35">
      <c r="A585">
        <v>0</v>
      </c>
      <c r="B585">
        <v>3071</v>
      </c>
      <c r="C585" t="s">
        <v>602</v>
      </c>
      <c r="D585" t="s">
        <v>1301</v>
      </c>
      <c r="E585" t="s">
        <v>1399</v>
      </c>
      <c r="F585">
        <v>7297</v>
      </c>
      <c r="I585">
        <v>343</v>
      </c>
      <c r="J585">
        <v>342</v>
      </c>
      <c r="M585" t="s">
        <v>1399</v>
      </c>
    </row>
    <row r="586" spans="1:13" x14ac:dyDescent="0.35">
      <c r="A586">
        <v>0</v>
      </c>
      <c r="B586">
        <v>3070</v>
      </c>
      <c r="C586" t="s">
        <v>602</v>
      </c>
      <c r="D586" t="s">
        <v>1301</v>
      </c>
      <c r="E586" t="s">
        <v>1400</v>
      </c>
      <c r="F586">
        <v>7296</v>
      </c>
      <c r="I586">
        <v>342</v>
      </c>
      <c r="J586">
        <v>341</v>
      </c>
      <c r="M586" t="s">
        <v>1400</v>
      </c>
    </row>
    <row r="587" spans="1:13" x14ac:dyDescent="0.35">
      <c r="A587">
        <v>103188</v>
      </c>
      <c r="B587">
        <v>1873</v>
      </c>
      <c r="C587" t="s">
        <v>602</v>
      </c>
      <c r="D587" t="s">
        <v>1336</v>
      </c>
      <c r="E587" t="s">
        <v>1401</v>
      </c>
      <c r="F587">
        <v>597</v>
      </c>
      <c r="G587">
        <v>1758</v>
      </c>
      <c r="H587" t="s">
        <v>964</v>
      </c>
      <c r="I587">
        <v>342</v>
      </c>
      <c r="J587">
        <v>343</v>
      </c>
      <c r="L587" t="s">
        <v>965</v>
      </c>
      <c r="M587" t="s">
        <v>1402</v>
      </c>
    </row>
    <row r="588" spans="1:13" x14ac:dyDescent="0.35">
      <c r="A588">
        <v>104365</v>
      </c>
      <c r="B588">
        <v>3097</v>
      </c>
      <c r="C588" t="s">
        <v>602</v>
      </c>
      <c r="D588" t="s">
        <v>1389</v>
      </c>
      <c r="E588" t="s">
        <v>1403</v>
      </c>
      <c r="F588">
        <v>4163209</v>
      </c>
      <c r="G588">
        <v>21882</v>
      </c>
      <c r="H588" t="s">
        <v>964</v>
      </c>
      <c r="I588">
        <v>342</v>
      </c>
      <c r="J588">
        <v>344</v>
      </c>
      <c r="K588" t="s">
        <v>1391</v>
      </c>
      <c r="M588" t="s">
        <v>1404</v>
      </c>
    </row>
    <row r="589" spans="1:13" x14ac:dyDescent="0.35">
      <c r="A589">
        <v>104364</v>
      </c>
      <c r="B589">
        <v>3095</v>
      </c>
      <c r="C589" t="s">
        <v>602</v>
      </c>
      <c r="D589" t="s">
        <v>1389</v>
      </c>
      <c r="E589" t="s">
        <v>1405</v>
      </c>
      <c r="F589">
        <v>4163207</v>
      </c>
      <c r="G589">
        <v>218317</v>
      </c>
      <c r="H589" t="s">
        <v>964</v>
      </c>
      <c r="I589">
        <v>341</v>
      </c>
      <c r="J589">
        <v>343</v>
      </c>
      <c r="K589" t="s">
        <v>1391</v>
      </c>
      <c r="M589" t="s">
        <v>1406</v>
      </c>
    </row>
    <row r="590" spans="1:13" x14ac:dyDescent="0.35">
      <c r="A590">
        <v>0</v>
      </c>
      <c r="B590">
        <v>3069</v>
      </c>
      <c r="C590" t="s">
        <v>602</v>
      </c>
      <c r="D590" t="s">
        <v>1301</v>
      </c>
      <c r="E590" t="s">
        <v>1407</v>
      </c>
      <c r="F590">
        <v>7295</v>
      </c>
      <c r="I590">
        <v>341</v>
      </c>
      <c r="J590">
        <v>340</v>
      </c>
      <c r="M590" t="s">
        <v>1407</v>
      </c>
    </row>
    <row r="591" spans="1:13" x14ac:dyDescent="0.35">
      <c r="A591">
        <v>103885</v>
      </c>
      <c r="B591">
        <v>1887</v>
      </c>
      <c r="C591" t="s">
        <v>602</v>
      </c>
      <c r="D591" t="s">
        <v>1336</v>
      </c>
      <c r="E591" t="s">
        <v>1408</v>
      </c>
      <c r="F591">
        <v>594</v>
      </c>
      <c r="G591">
        <v>225278</v>
      </c>
      <c r="H591" t="s">
        <v>964</v>
      </c>
      <c r="I591">
        <v>341</v>
      </c>
      <c r="J591">
        <v>342</v>
      </c>
      <c r="L591" t="s">
        <v>965</v>
      </c>
      <c r="M591" t="s">
        <v>1409</v>
      </c>
    </row>
    <row r="592" spans="1:13" x14ac:dyDescent="0.35">
      <c r="A592">
        <v>104363</v>
      </c>
      <c r="B592">
        <v>3094</v>
      </c>
      <c r="C592" t="s">
        <v>602</v>
      </c>
      <c r="D592" t="s">
        <v>1389</v>
      </c>
      <c r="E592" t="s">
        <v>1410</v>
      </c>
      <c r="F592">
        <v>4163206</v>
      </c>
      <c r="G592">
        <v>228913</v>
      </c>
      <c r="H592" t="s">
        <v>964</v>
      </c>
      <c r="I592">
        <v>340</v>
      </c>
      <c r="J592">
        <v>342</v>
      </c>
      <c r="K592" t="s">
        <v>1391</v>
      </c>
      <c r="M592" t="s">
        <v>1411</v>
      </c>
    </row>
    <row r="593" spans="1:13" x14ac:dyDescent="0.35">
      <c r="A593">
        <v>101492</v>
      </c>
      <c r="B593">
        <v>1090</v>
      </c>
      <c r="C593" t="s">
        <v>597</v>
      </c>
      <c r="D593" t="s">
        <v>962</v>
      </c>
      <c r="E593" t="s">
        <v>1412</v>
      </c>
      <c r="F593">
        <v>3658</v>
      </c>
      <c r="G593">
        <v>221423</v>
      </c>
      <c r="H593" t="s">
        <v>964</v>
      </c>
      <c r="I593">
        <v>340</v>
      </c>
      <c r="J593">
        <v>324</v>
      </c>
      <c r="K593" t="s">
        <v>1000</v>
      </c>
      <c r="L593" t="s">
        <v>965</v>
      </c>
      <c r="M593" t="s">
        <v>1413</v>
      </c>
    </row>
    <row r="594" spans="1:13" x14ac:dyDescent="0.35">
      <c r="A594">
        <v>0</v>
      </c>
      <c r="B594">
        <v>3068</v>
      </c>
      <c r="C594" t="s">
        <v>602</v>
      </c>
      <c r="D594" t="s">
        <v>1301</v>
      </c>
      <c r="E594" t="s">
        <v>1414</v>
      </c>
      <c r="F594">
        <v>7294</v>
      </c>
      <c r="I594">
        <v>340</v>
      </c>
      <c r="J594">
        <v>339</v>
      </c>
      <c r="M594" t="s">
        <v>1414</v>
      </c>
    </row>
    <row r="595" spans="1:13" x14ac:dyDescent="0.35">
      <c r="A595">
        <v>103810</v>
      </c>
      <c r="B595">
        <v>1886</v>
      </c>
      <c r="C595" t="s">
        <v>602</v>
      </c>
      <c r="D595" t="s">
        <v>1336</v>
      </c>
      <c r="E595" t="s">
        <v>1415</v>
      </c>
      <c r="F595">
        <v>591</v>
      </c>
      <c r="G595">
        <v>225182</v>
      </c>
      <c r="H595" t="s">
        <v>964</v>
      </c>
      <c r="I595">
        <v>340</v>
      </c>
      <c r="J595">
        <v>341</v>
      </c>
      <c r="L595" t="s">
        <v>965</v>
      </c>
      <c r="M595" t="s">
        <v>1416</v>
      </c>
    </row>
    <row r="596" spans="1:13" x14ac:dyDescent="0.35">
      <c r="A596">
        <v>0</v>
      </c>
      <c r="B596">
        <v>3067</v>
      </c>
      <c r="C596" t="s">
        <v>602</v>
      </c>
      <c r="D596" t="s">
        <v>1301</v>
      </c>
      <c r="E596" t="s">
        <v>1417</v>
      </c>
      <c r="F596">
        <v>7293</v>
      </c>
      <c r="I596">
        <v>339</v>
      </c>
      <c r="J596">
        <v>338</v>
      </c>
      <c r="M596" t="s">
        <v>1417</v>
      </c>
    </row>
    <row r="597" spans="1:13" x14ac:dyDescent="0.35">
      <c r="A597">
        <v>101429</v>
      </c>
      <c r="B597">
        <v>1043</v>
      </c>
      <c r="C597" t="s">
        <v>602</v>
      </c>
      <c r="D597" t="s">
        <v>962</v>
      </c>
      <c r="E597" t="s">
        <v>1418</v>
      </c>
      <c r="F597">
        <v>3513</v>
      </c>
      <c r="G597">
        <v>220544</v>
      </c>
      <c r="H597" t="s">
        <v>964</v>
      </c>
      <c r="I597">
        <v>339</v>
      </c>
      <c r="J597">
        <v>323</v>
      </c>
      <c r="K597" t="s">
        <v>979</v>
      </c>
      <c r="L597" t="s">
        <v>965</v>
      </c>
      <c r="M597" t="s">
        <v>1419</v>
      </c>
    </row>
    <row r="598" spans="1:13" x14ac:dyDescent="0.35">
      <c r="A598">
        <v>103754</v>
      </c>
      <c r="B598">
        <v>1885</v>
      </c>
      <c r="C598" t="s">
        <v>602</v>
      </c>
      <c r="D598" t="s">
        <v>1336</v>
      </c>
      <c r="E598" t="s">
        <v>1420</v>
      </c>
      <c r="F598">
        <v>586</v>
      </c>
      <c r="G598">
        <v>21853</v>
      </c>
      <c r="H598" t="s">
        <v>964</v>
      </c>
      <c r="I598">
        <v>339</v>
      </c>
      <c r="J598">
        <v>340</v>
      </c>
      <c r="L598" t="s">
        <v>965</v>
      </c>
      <c r="M598" t="s">
        <v>1421</v>
      </c>
    </row>
    <row r="599" spans="1:13" x14ac:dyDescent="0.35">
      <c r="A599">
        <v>104362</v>
      </c>
      <c r="B599">
        <v>3093</v>
      </c>
      <c r="C599" t="s">
        <v>602</v>
      </c>
      <c r="D599" t="s">
        <v>1389</v>
      </c>
      <c r="E599" t="s">
        <v>1422</v>
      </c>
      <c r="F599">
        <v>4163205</v>
      </c>
      <c r="G599">
        <v>228912</v>
      </c>
      <c r="H599" t="s">
        <v>964</v>
      </c>
      <c r="I599">
        <v>339</v>
      </c>
      <c r="J599">
        <v>341</v>
      </c>
      <c r="K599" t="s">
        <v>1391</v>
      </c>
      <c r="M599" t="s">
        <v>1423</v>
      </c>
    </row>
    <row r="600" spans="1:13" x14ac:dyDescent="0.35">
      <c r="A600">
        <v>101473</v>
      </c>
      <c r="B600">
        <v>1074</v>
      </c>
      <c r="C600" t="s">
        <v>602</v>
      </c>
      <c r="D600" t="s">
        <v>962</v>
      </c>
      <c r="E600" t="s">
        <v>1424</v>
      </c>
      <c r="F600">
        <v>3533</v>
      </c>
      <c r="G600">
        <v>221169</v>
      </c>
      <c r="H600" t="s">
        <v>964</v>
      </c>
      <c r="I600">
        <v>338</v>
      </c>
      <c r="J600">
        <v>322</v>
      </c>
      <c r="K600" t="s">
        <v>979</v>
      </c>
      <c r="L600" t="s">
        <v>965</v>
      </c>
      <c r="M600" t="s">
        <v>1425</v>
      </c>
    </row>
    <row r="601" spans="1:13" x14ac:dyDescent="0.35">
      <c r="A601">
        <v>0</v>
      </c>
      <c r="B601">
        <v>3066</v>
      </c>
      <c r="C601" t="s">
        <v>602</v>
      </c>
      <c r="D601" t="s">
        <v>1301</v>
      </c>
      <c r="E601" t="s">
        <v>1426</v>
      </c>
      <c r="F601">
        <v>7292</v>
      </c>
      <c r="I601">
        <v>338</v>
      </c>
      <c r="J601">
        <v>337</v>
      </c>
      <c r="M601" t="s">
        <v>1426</v>
      </c>
    </row>
    <row r="602" spans="1:13" x14ac:dyDescent="0.35">
      <c r="A602">
        <v>103698</v>
      </c>
      <c r="B602">
        <v>1884</v>
      </c>
      <c r="C602" t="s">
        <v>602</v>
      </c>
      <c r="D602" t="s">
        <v>1336</v>
      </c>
      <c r="E602" t="s">
        <v>1427</v>
      </c>
      <c r="F602">
        <v>573</v>
      </c>
      <c r="G602">
        <v>191</v>
      </c>
      <c r="H602" t="s">
        <v>964</v>
      </c>
      <c r="I602">
        <v>338</v>
      </c>
      <c r="J602">
        <v>339</v>
      </c>
      <c r="L602" t="s">
        <v>965</v>
      </c>
      <c r="M602" t="s">
        <v>1428</v>
      </c>
    </row>
    <row r="603" spans="1:13" x14ac:dyDescent="0.35">
      <c r="A603">
        <v>104361</v>
      </c>
      <c r="B603">
        <v>3092</v>
      </c>
      <c r="C603" t="s">
        <v>602</v>
      </c>
      <c r="D603" t="s">
        <v>1389</v>
      </c>
      <c r="E603" t="s">
        <v>1429</v>
      </c>
      <c r="F603">
        <v>4163204</v>
      </c>
      <c r="G603">
        <v>228911</v>
      </c>
      <c r="H603" t="s">
        <v>964</v>
      </c>
      <c r="I603">
        <v>338</v>
      </c>
      <c r="J603">
        <v>340</v>
      </c>
      <c r="K603" t="s">
        <v>1391</v>
      </c>
      <c r="M603" t="s">
        <v>1430</v>
      </c>
    </row>
    <row r="604" spans="1:13" x14ac:dyDescent="0.35">
      <c r="A604">
        <v>104360</v>
      </c>
      <c r="B604">
        <v>3091</v>
      </c>
      <c r="C604" t="s">
        <v>602</v>
      </c>
      <c r="D604" t="s">
        <v>1389</v>
      </c>
      <c r="E604" t="s">
        <v>1431</v>
      </c>
      <c r="F604">
        <v>4163203</v>
      </c>
      <c r="G604">
        <v>228910</v>
      </c>
      <c r="H604" t="s">
        <v>964</v>
      </c>
      <c r="I604">
        <v>337</v>
      </c>
      <c r="J604">
        <v>339</v>
      </c>
      <c r="K604" t="s">
        <v>1391</v>
      </c>
      <c r="M604" t="s">
        <v>1432</v>
      </c>
    </row>
    <row r="605" spans="1:13" x14ac:dyDescent="0.35">
      <c r="A605">
        <v>0</v>
      </c>
      <c r="B605">
        <v>3065</v>
      </c>
      <c r="C605" t="s">
        <v>602</v>
      </c>
      <c r="D605" t="s">
        <v>1301</v>
      </c>
      <c r="E605" t="s">
        <v>1433</v>
      </c>
      <c r="F605">
        <v>7291</v>
      </c>
      <c r="I605">
        <v>337</v>
      </c>
      <c r="J605">
        <v>336</v>
      </c>
      <c r="M605" t="s">
        <v>1433</v>
      </c>
    </row>
    <row r="606" spans="1:13" x14ac:dyDescent="0.35">
      <c r="A606">
        <v>103640</v>
      </c>
      <c r="B606">
        <v>1878</v>
      </c>
      <c r="C606" t="s">
        <v>602</v>
      </c>
      <c r="D606" t="s">
        <v>1336</v>
      </c>
      <c r="E606" t="s">
        <v>1434</v>
      </c>
      <c r="F606">
        <v>568</v>
      </c>
      <c r="G606">
        <v>223076</v>
      </c>
      <c r="H606" t="s">
        <v>964</v>
      </c>
      <c r="I606">
        <v>337</v>
      </c>
      <c r="J606">
        <v>338</v>
      </c>
      <c r="L606" t="s">
        <v>965</v>
      </c>
      <c r="M606" t="s">
        <v>1435</v>
      </c>
    </row>
    <row r="607" spans="1:13" x14ac:dyDescent="0.35">
      <c r="A607">
        <v>103597</v>
      </c>
      <c r="B607">
        <v>1876</v>
      </c>
      <c r="C607" t="s">
        <v>602</v>
      </c>
      <c r="D607" t="s">
        <v>1336</v>
      </c>
      <c r="E607" t="s">
        <v>1436</v>
      </c>
      <c r="F607">
        <v>563</v>
      </c>
      <c r="G607">
        <v>1338</v>
      </c>
      <c r="H607" t="s">
        <v>964</v>
      </c>
      <c r="I607">
        <v>336</v>
      </c>
      <c r="J607">
        <v>337</v>
      </c>
      <c r="L607" t="s">
        <v>965</v>
      </c>
      <c r="M607" t="s">
        <v>1437</v>
      </c>
    </row>
    <row r="608" spans="1:13" x14ac:dyDescent="0.35">
      <c r="A608">
        <v>0</v>
      </c>
      <c r="B608">
        <v>3064</v>
      </c>
      <c r="C608" t="s">
        <v>602</v>
      </c>
      <c r="D608" t="s">
        <v>1301</v>
      </c>
      <c r="E608" t="s">
        <v>1438</v>
      </c>
      <c r="F608">
        <v>7290</v>
      </c>
      <c r="I608">
        <v>336</v>
      </c>
      <c r="J608">
        <v>335</v>
      </c>
      <c r="M608" t="s">
        <v>1438</v>
      </c>
    </row>
    <row r="609" spans="1:13" x14ac:dyDescent="0.35">
      <c r="A609">
        <v>104359</v>
      </c>
      <c r="B609">
        <v>3099</v>
      </c>
      <c r="C609" t="s">
        <v>602</v>
      </c>
      <c r="D609" t="s">
        <v>1389</v>
      </c>
      <c r="E609" t="s">
        <v>1439</v>
      </c>
      <c r="F609">
        <v>4163211</v>
      </c>
      <c r="G609">
        <v>228909</v>
      </c>
      <c r="H609" t="s">
        <v>964</v>
      </c>
      <c r="I609">
        <v>336</v>
      </c>
      <c r="J609">
        <v>338</v>
      </c>
      <c r="K609" t="s">
        <v>1391</v>
      </c>
      <c r="M609" t="s">
        <v>1440</v>
      </c>
    </row>
    <row r="610" spans="1:13" x14ac:dyDescent="0.35">
      <c r="A610">
        <v>103676</v>
      </c>
      <c r="B610">
        <v>1883</v>
      </c>
      <c r="C610" t="s">
        <v>602</v>
      </c>
      <c r="D610" t="s">
        <v>1336</v>
      </c>
      <c r="E610" t="s">
        <v>1441</v>
      </c>
      <c r="F610">
        <v>686</v>
      </c>
      <c r="G610">
        <v>2726</v>
      </c>
      <c r="H610" t="s">
        <v>964</v>
      </c>
      <c r="I610">
        <v>335</v>
      </c>
      <c r="J610">
        <v>336</v>
      </c>
      <c r="L610" t="s">
        <v>965</v>
      </c>
      <c r="M610" t="s">
        <v>1442</v>
      </c>
    </row>
    <row r="611" spans="1:13" x14ac:dyDescent="0.35">
      <c r="A611">
        <v>0</v>
      </c>
      <c r="B611">
        <v>3063</v>
      </c>
      <c r="C611" t="s">
        <v>602</v>
      </c>
      <c r="D611" t="s">
        <v>1301</v>
      </c>
      <c r="E611" t="s">
        <v>1443</v>
      </c>
      <c r="F611">
        <v>7289</v>
      </c>
      <c r="I611">
        <v>335</v>
      </c>
      <c r="J611">
        <v>334</v>
      </c>
      <c r="M611" t="s">
        <v>1443</v>
      </c>
    </row>
    <row r="612" spans="1:13" x14ac:dyDescent="0.35">
      <c r="A612">
        <v>104358</v>
      </c>
      <c r="B612">
        <v>3090</v>
      </c>
      <c r="C612" t="s">
        <v>602</v>
      </c>
      <c r="D612" t="s">
        <v>1389</v>
      </c>
      <c r="E612" t="s">
        <v>1444</v>
      </c>
      <c r="F612">
        <v>4163202</v>
      </c>
      <c r="G612">
        <v>228908</v>
      </c>
      <c r="H612" t="s">
        <v>964</v>
      </c>
      <c r="I612">
        <v>335</v>
      </c>
      <c r="J612">
        <v>337</v>
      </c>
      <c r="K612" t="s">
        <v>1391</v>
      </c>
      <c r="M612" t="s">
        <v>1445</v>
      </c>
    </row>
    <row r="613" spans="1:13" x14ac:dyDescent="0.35">
      <c r="A613">
        <v>0</v>
      </c>
      <c r="B613">
        <v>3062</v>
      </c>
      <c r="C613" t="s">
        <v>602</v>
      </c>
      <c r="D613" t="s">
        <v>1301</v>
      </c>
      <c r="E613" t="s">
        <v>1446</v>
      </c>
      <c r="F613">
        <v>7288</v>
      </c>
      <c r="I613">
        <v>334</v>
      </c>
      <c r="J613">
        <v>333</v>
      </c>
      <c r="M613" t="s">
        <v>1446</v>
      </c>
    </row>
    <row r="614" spans="1:13" x14ac:dyDescent="0.35">
      <c r="A614">
        <v>103907</v>
      </c>
      <c r="B614">
        <v>1888</v>
      </c>
      <c r="C614" t="s">
        <v>602</v>
      </c>
      <c r="D614" t="s">
        <v>1336</v>
      </c>
      <c r="E614" t="s">
        <v>1447</v>
      </c>
      <c r="F614">
        <v>527</v>
      </c>
      <c r="G614">
        <v>225381</v>
      </c>
      <c r="H614" t="s">
        <v>964</v>
      </c>
      <c r="I614">
        <v>334</v>
      </c>
      <c r="J614">
        <v>335</v>
      </c>
      <c r="L614" t="s">
        <v>965</v>
      </c>
      <c r="M614" t="s">
        <v>1448</v>
      </c>
    </row>
    <row r="615" spans="1:13" x14ac:dyDescent="0.35">
      <c r="A615">
        <v>101527</v>
      </c>
      <c r="B615">
        <v>1121</v>
      </c>
      <c r="C615" t="s">
        <v>602</v>
      </c>
      <c r="D615" t="s">
        <v>962</v>
      </c>
      <c r="E615" t="s">
        <v>1449</v>
      </c>
      <c r="F615">
        <v>3793</v>
      </c>
      <c r="G615">
        <v>221791</v>
      </c>
      <c r="H615" t="s">
        <v>964</v>
      </c>
      <c r="I615">
        <v>334</v>
      </c>
      <c r="J615">
        <v>318</v>
      </c>
      <c r="K615" t="s">
        <v>1000</v>
      </c>
      <c r="L615" t="s">
        <v>965</v>
      </c>
      <c r="M615" t="s">
        <v>1450</v>
      </c>
    </row>
    <row r="616" spans="1:13" x14ac:dyDescent="0.35">
      <c r="A616">
        <v>104146</v>
      </c>
      <c r="B616">
        <v>1243</v>
      </c>
      <c r="C616" t="s">
        <v>602</v>
      </c>
      <c r="D616" t="s">
        <v>962</v>
      </c>
      <c r="E616" t="s">
        <v>1451</v>
      </c>
      <c r="F616">
        <v>5232</v>
      </c>
      <c r="G616">
        <v>226555</v>
      </c>
      <c r="H616" t="s">
        <v>964</v>
      </c>
      <c r="I616">
        <v>333</v>
      </c>
      <c r="J616">
        <v>317</v>
      </c>
      <c r="K616" t="s">
        <v>1000</v>
      </c>
      <c r="L616" t="s">
        <v>965</v>
      </c>
      <c r="M616" t="s">
        <v>1452</v>
      </c>
    </row>
    <row r="617" spans="1:13" x14ac:dyDescent="0.35">
      <c r="A617">
        <v>0</v>
      </c>
      <c r="B617">
        <v>3061</v>
      </c>
      <c r="C617" t="s">
        <v>602</v>
      </c>
      <c r="D617" t="s">
        <v>1301</v>
      </c>
      <c r="E617" t="s">
        <v>1453</v>
      </c>
      <c r="F617">
        <v>7287</v>
      </c>
      <c r="I617">
        <v>333</v>
      </c>
      <c r="J617">
        <v>332</v>
      </c>
      <c r="M617" t="s">
        <v>1453</v>
      </c>
    </row>
    <row r="618" spans="1:13" x14ac:dyDescent="0.35">
      <c r="A618">
        <v>103085</v>
      </c>
      <c r="B618">
        <v>1872</v>
      </c>
      <c r="C618" t="s">
        <v>602</v>
      </c>
      <c r="D618" t="s">
        <v>1336</v>
      </c>
      <c r="E618" t="s">
        <v>1454</v>
      </c>
      <c r="F618">
        <v>510</v>
      </c>
      <c r="G618">
        <v>2680</v>
      </c>
      <c r="H618" t="s">
        <v>964</v>
      </c>
      <c r="I618">
        <v>333</v>
      </c>
      <c r="J618">
        <v>334</v>
      </c>
      <c r="L618" t="s">
        <v>965</v>
      </c>
      <c r="M618" t="s">
        <v>1455</v>
      </c>
    </row>
    <row r="619" spans="1:13" x14ac:dyDescent="0.35">
      <c r="A619">
        <v>0</v>
      </c>
      <c r="B619">
        <v>3060</v>
      </c>
      <c r="C619" t="s">
        <v>602</v>
      </c>
      <c r="D619" t="s">
        <v>1301</v>
      </c>
      <c r="E619" t="s">
        <v>1456</v>
      </c>
      <c r="F619">
        <v>7286</v>
      </c>
      <c r="I619">
        <v>332</v>
      </c>
      <c r="J619">
        <v>331</v>
      </c>
      <c r="M619" t="s">
        <v>1456</v>
      </c>
    </row>
    <row r="620" spans="1:13" x14ac:dyDescent="0.35">
      <c r="A620">
        <v>103598</v>
      </c>
      <c r="B620">
        <v>1877</v>
      </c>
      <c r="C620" t="s">
        <v>602</v>
      </c>
      <c r="D620" t="s">
        <v>1336</v>
      </c>
      <c r="E620" t="s">
        <v>1457</v>
      </c>
      <c r="F620">
        <v>504</v>
      </c>
      <c r="G620">
        <v>223010</v>
      </c>
      <c r="H620" t="s">
        <v>1458</v>
      </c>
      <c r="I620">
        <v>332</v>
      </c>
      <c r="J620">
        <v>333</v>
      </c>
      <c r="L620" t="s">
        <v>965</v>
      </c>
      <c r="M620" t="s">
        <v>1459</v>
      </c>
    </row>
    <row r="621" spans="1:13" x14ac:dyDescent="0.35">
      <c r="A621">
        <v>101551</v>
      </c>
      <c r="B621">
        <v>1144</v>
      </c>
      <c r="C621" t="s">
        <v>602</v>
      </c>
      <c r="D621" t="s">
        <v>962</v>
      </c>
      <c r="E621" t="s">
        <v>1460</v>
      </c>
      <c r="F621">
        <v>3790</v>
      </c>
      <c r="G621">
        <v>222012</v>
      </c>
      <c r="H621" t="s">
        <v>964</v>
      </c>
      <c r="I621">
        <v>332</v>
      </c>
      <c r="J621">
        <v>316</v>
      </c>
      <c r="K621" t="s">
        <v>1000</v>
      </c>
      <c r="L621" t="s">
        <v>965</v>
      </c>
      <c r="M621" t="s">
        <v>1461</v>
      </c>
    </row>
    <row r="622" spans="1:13" x14ac:dyDescent="0.35">
      <c r="A622">
        <v>101589</v>
      </c>
      <c r="B622">
        <v>1182</v>
      </c>
      <c r="C622" t="s">
        <v>602</v>
      </c>
      <c r="D622" t="s">
        <v>962</v>
      </c>
      <c r="E622" t="s">
        <v>1462</v>
      </c>
      <c r="F622">
        <v>4529</v>
      </c>
      <c r="G622">
        <v>222687</v>
      </c>
      <c r="H622" t="s">
        <v>964</v>
      </c>
      <c r="I622">
        <v>331</v>
      </c>
      <c r="J622">
        <v>315</v>
      </c>
      <c r="K622" t="s">
        <v>1000</v>
      </c>
      <c r="L622" t="s">
        <v>965</v>
      </c>
      <c r="M622" t="s">
        <v>1463</v>
      </c>
    </row>
    <row r="623" spans="1:13" x14ac:dyDescent="0.35">
      <c r="A623">
        <v>104357</v>
      </c>
      <c r="B623">
        <v>3089</v>
      </c>
      <c r="C623" t="s">
        <v>602</v>
      </c>
      <c r="D623" t="s">
        <v>1389</v>
      </c>
      <c r="E623" t="s">
        <v>1464</v>
      </c>
      <c r="F623">
        <v>4163201</v>
      </c>
      <c r="G623">
        <v>2106</v>
      </c>
      <c r="H623" t="s">
        <v>964</v>
      </c>
      <c r="I623">
        <v>331</v>
      </c>
      <c r="J623">
        <v>336</v>
      </c>
      <c r="K623" t="s">
        <v>1391</v>
      </c>
      <c r="M623" t="s">
        <v>1465</v>
      </c>
    </row>
    <row r="624" spans="1:13" x14ac:dyDescent="0.35">
      <c r="A624">
        <v>101148</v>
      </c>
      <c r="B624">
        <v>1342</v>
      </c>
      <c r="C624" t="s">
        <v>602</v>
      </c>
      <c r="D624" t="s">
        <v>1336</v>
      </c>
      <c r="E624" t="s">
        <v>1466</v>
      </c>
      <c r="F624">
        <v>471</v>
      </c>
      <c r="G624">
        <v>925</v>
      </c>
      <c r="H624" t="s">
        <v>964</v>
      </c>
      <c r="I624">
        <v>331</v>
      </c>
      <c r="J624">
        <v>332</v>
      </c>
      <c r="L624" t="s">
        <v>965</v>
      </c>
      <c r="M624" t="s">
        <v>1467</v>
      </c>
    </row>
    <row r="625" spans="1:13" x14ac:dyDescent="0.35">
      <c r="A625">
        <v>0</v>
      </c>
      <c r="B625">
        <v>3059</v>
      </c>
      <c r="C625" t="s">
        <v>602</v>
      </c>
      <c r="D625" t="s">
        <v>1301</v>
      </c>
      <c r="E625" t="s">
        <v>1468</v>
      </c>
      <c r="F625">
        <v>7285</v>
      </c>
      <c r="I625">
        <v>331</v>
      </c>
      <c r="J625">
        <v>330</v>
      </c>
      <c r="M625" t="s">
        <v>1468</v>
      </c>
    </row>
    <row r="626" spans="1:13" x14ac:dyDescent="0.35">
      <c r="A626">
        <v>102747</v>
      </c>
      <c r="B626">
        <v>1870</v>
      </c>
      <c r="C626" t="s">
        <v>602</v>
      </c>
      <c r="D626" t="s">
        <v>1336</v>
      </c>
      <c r="E626" t="s">
        <v>1469</v>
      </c>
      <c r="F626">
        <v>450</v>
      </c>
      <c r="G626">
        <v>217970</v>
      </c>
      <c r="H626" t="s">
        <v>964</v>
      </c>
      <c r="I626">
        <v>330</v>
      </c>
      <c r="J626">
        <v>331</v>
      </c>
      <c r="L626" t="s">
        <v>965</v>
      </c>
      <c r="M626" t="s">
        <v>1470</v>
      </c>
    </row>
    <row r="627" spans="1:13" x14ac:dyDescent="0.35">
      <c r="A627">
        <v>0</v>
      </c>
      <c r="B627">
        <v>3101</v>
      </c>
      <c r="C627" t="s">
        <v>602</v>
      </c>
      <c r="D627" t="s">
        <v>1389</v>
      </c>
      <c r="E627" t="s">
        <v>1471</v>
      </c>
      <c r="I627">
        <v>330</v>
      </c>
      <c r="J627">
        <v>335</v>
      </c>
      <c r="M627" t="s">
        <v>1471</v>
      </c>
    </row>
    <row r="628" spans="1:13" x14ac:dyDescent="0.35">
      <c r="A628">
        <v>0</v>
      </c>
      <c r="B628">
        <v>3058</v>
      </c>
      <c r="C628" t="s">
        <v>602</v>
      </c>
      <c r="D628" t="s">
        <v>1301</v>
      </c>
      <c r="E628" t="s">
        <v>1472</v>
      </c>
      <c r="F628">
        <v>7284</v>
      </c>
      <c r="I628">
        <v>330</v>
      </c>
      <c r="J628">
        <v>329</v>
      </c>
      <c r="M628" t="s">
        <v>1472</v>
      </c>
    </row>
    <row r="629" spans="1:13" x14ac:dyDescent="0.35">
      <c r="A629">
        <v>104289</v>
      </c>
      <c r="B629">
        <v>1287</v>
      </c>
      <c r="C629" t="s">
        <v>602</v>
      </c>
      <c r="D629" t="s">
        <v>962</v>
      </c>
      <c r="E629" t="s">
        <v>1473</v>
      </c>
      <c r="F629">
        <v>5651</v>
      </c>
      <c r="G629">
        <v>227709</v>
      </c>
      <c r="H629" t="s">
        <v>964</v>
      </c>
      <c r="I629">
        <v>330</v>
      </c>
      <c r="J629">
        <v>314</v>
      </c>
      <c r="K629" t="s">
        <v>1000</v>
      </c>
      <c r="L629" t="s">
        <v>965</v>
      </c>
      <c r="M629" t="s">
        <v>1474</v>
      </c>
    </row>
    <row r="630" spans="1:13" x14ac:dyDescent="0.35">
      <c r="A630">
        <v>101530</v>
      </c>
      <c r="B630">
        <v>1124</v>
      </c>
      <c r="C630" t="s">
        <v>602</v>
      </c>
      <c r="D630" t="s">
        <v>962</v>
      </c>
      <c r="E630" t="s">
        <v>1475</v>
      </c>
      <c r="F630">
        <v>3721</v>
      </c>
      <c r="G630">
        <v>221815</v>
      </c>
      <c r="H630" t="s">
        <v>964</v>
      </c>
      <c r="I630">
        <v>329</v>
      </c>
      <c r="J630">
        <v>313</v>
      </c>
      <c r="K630" t="s">
        <v>1000</v>
      </c>
      <c r="L630" t="s">
        <v>965</v>
      </c>
      <c r="M630" t="s">
        <v>1476</v>
      </c>
    </row>
    <row r="631" spans="1:13" x14ac:dyDescent="0.35">
      <c r="A631">
        <v>104351</v>
      </c>
      <c r="B631">
        <v>3079</v>
      </c>
      <c r="C631" t="s">
        <v>597</v>
      </c>
      <c r="D631" t="s">
        <v>1066</v>
      </c>
      <c r="E631" t="s">
        <v>1477</v>
      </c>
      <c r="G631">
        <v>228875</v>
      </c>
      <c r="I631">
        <v>329</v>
      </c>
    </row>
    <row r="632" spans="1:13" x14ac:dyDescent="0.35">
      <c r="A632">
        <v>0</v>
      </c>
      <c r="B632">
        <v>3057</v>
      </c>
      <c r="C632" t="s">
        <v>602</v>
      </c>
      <c r="D632" t="s">
        <v>1301</v>
      </c>
      <c r="E632" t="s">
        <v>1478</v>
      </c>
      <c r="F632">
        <v>7283</v>
      </c>
      <c r="I632">
        <v>329</v>
      </c>
      <c r="J632">
        <v>328</v>
      </c>
      <c r="M632" t="s">
        <v>1478</v>
      </c>
    </row>
    <row r="633" spans="1:13" x14ac:dyDescent="0.35">
      <c r="A633">
        <v>102736</v>
      </c>
      <c r="B633">
        <v>1869</v>
      </c>
      <c r="C633" t="s">
        <v>602</v>
      </c>
      <c r="D633" t="s">
        <v>1336</v>
      </c>
      <c r="E633" t="s">
        <v>1479</v>
      </c>
      <c r="F633">
        <v>449</v>
      </c>
      <c r="G633">
        <v>221443</v>
      </c>
      <c r="H633" t="s">
        <v>964</v>
      </c>
      <c r="I633">
        <v>329</v>
      </c>
      <c r="J633">
        <v>330</v>
      </c>
      <c r="L633" t="s">
        <v>965</v>
      </c>
      <c r="M633" t="s">
        <v>1480</v>
      </c>
    </row>
    <row r="634" spans="1:13" x14ac:dyDescent="0.35">
      <c r="A634">
        <v>104351</v>
      </c>
      <c r="B634">
        <v>3083</v>
      </c>
      <c r="C634" t="s">
        <v>597</v>
      </c>
      <c r="D634" t="s">
        <v>1066</v>
      </c>
      <c r="E634" t="s">
        <v>1481</v>
      </c>
      <c r="F634">
        <v>4163210</v>
      </c>
      <c r="I634">
        <v>329</v>
      </c>
      <c r="J634">
        <v>334</v>
      </c>
      <c r="M634" t="s">
        <v>1482</v>
      </c>
    </row>
    <row r="635" spans="1:13" x14ac:dyDescent="0.35">
      <c r="A635">
        <v>102017</v>
      </c>
      <c r="B635">
        <v>1848</v>
      </c>
      <c r="C635" t="s">
        <v>602</v>
      </c>
      <c r="D635" t="s">
        <v>1336</v>
      </c>
      <c r="E635" t="s">
        <v>1483</v>
      </c>
      <c r="F635">
        <v>438</v>
      </c>
      <c r="G635">
        <v>585</v>
      </c>
      <c r="H635" t="s">
        <v>964</v>
      </c>
      <c r="I635">
        <v>328</v>
      </c>
      <c r="J635">
        <v>329</v>
      </c>
      <c r="L635" t="s">
        <v>965</v>
      </c>
      <c r="M635" t="s">
        <v>1484</v>
      </c>
    </row>
    <row r="636" spans="1:13" x14ac:dyDescent="0.35">
      <c r="A636">
        <v>101555</v>
      </c>
      <c r="B636">
        <v>1148</v>
      </c>
      <c r="C636" t="s">
        <v>602</v>
      </c>
      <c r="D636" t="s">
        <v>962</v>
      </c>
      <c r="E636" t="s">
        <v>1485</v>
      </c>
      <c r="F636">
        <v>4131</v>
      </c>
      <c r="G636">
        <v>222091</v>
      </c>
      <c r="H636" t="s">
        <v>964</v>
      </c>
      <c r="I636">
        <v>328</v>
      </c>
      <c r="J636">
        <v>312</v>
      </c>
      <c r="K636" t="s">
        <v>979</v>
      </c>
      <c r="L636" t="s">
        <v>965</v>
      </c>
      <c r="M636" t="s">
        <v>1486</v>
      </c>
    </row>
    <row r="637" spans="1:13" x14ac:dyDescent="0.35">
      <c r="A637">
        <v>104352</v>
      </c>
      <c r="B637">
        <v>3080</v>
      </c>
      <c r="C637" t="s">
        <v>597</v>
      </c>
      <c r="D637" t="s">
        <v>1066</v>
      </c>
      <c r="E637" t="s">
        <v>1487</v>
      </c>
      <c r="F637">
        <v>4163201</v>
      </c>
      <c r="G637">
        <v>228877</v>
      </c>
      <c r="I637">
        <v>328</v>
      </c>
      <c r="J637">
        <v>333</v>
      </c>
      <c r="M637" t="s">
        <v>1488</v>
      </c>
    </row>
    <row r="638" spans="1:13" x14ac:dyDescent="0.35">
      <c r="A638">
        <v>0</v>
      </c>
      <c r="B638">
        <v>3056</v>
      </c>
      <c r="C638" t="s">
        <v>602</v>
      </c>
      <c r="D638" t="s">
        <v>1301</v>
      </c>
      <c r="E638" t="s">
        <v>1489</v>
      </c>
      <c r="F638">
        <v>7282</v>
      </c>
      <c r="I638">
        <v>328</v>
      </c>
      <c r="J638">
        <v>327</v>
      </c>
      <c r="M638" t="s">
        <v>1489</v>
      </c>
    </row>
    <row r="639" spans="1:13" x14ac:dyDescent="0.35">
      <c r="A639">
        <v>104352</v>
      </c>
      <c r="B639">
        <v>3082</v>
      </c>
      <c r="C639" t="s">
        <v>597</v>
      </c>
      <c r="D639" t="s">
        <v>1066</v>
      </c>
      <c r="E639" t="s">
        <v>1490</v>
      </c>
      <c r="F639">
        <v>4163201</v>
      </c>
      <c r="I639">
        <v>328</v>
      </c>
      <c r="J639">
        <v>333</v>
      </c>
      <c r="M639" t="s">
        <v>1488</v>
      </c>
    </row>
    <row r="640" spans="1:13" x14ac:dyDescent="0.35">
      <c r="A640">
        <v>104436</v>
      </c>
      <c r="B640">
        <v>3078</v>
      </c>
      <c r="C640" t="s">
        <v>602</v>
      </c>
      <c r="D640" t="s">
        <v>1066</v>
      </c>
      <c r="E640" t="s">
        <v>1491</v>
      </c>
      <c r="F640">
        <v>4797030</v>
      </c>
      <c r="G640">
        <v>228872</v>
      </c>
      <c r="H640" t="s">
        <v>964</v>
      </c>
      <c r="I640">
        <v>327</v>
      </c>
      <c r="J640">
        <v>332</v>
      </c>
      <c r="K640" t="s">
        <v>1065</v>
      </c>
      <c r="L640" t="s">
        <v>965</v>
      </c>
      <c r="M640" t="s">
        <v>1492</v>
      </c>
    </row>
    <row r="641" spans="1:13" x14ac:dyDescent="0.35">
      <c r="A641">
        <v>0</v>
      </c>
      <c r="B641">
        <v>3055</v>
      </c>
      <c r="C641" t="s">
        <v>602</v>
      </c>
      <c r="D641" t="s">
        <v>1301</v>
      </c>
      <c r="E641" t="s">
        <v>1493</v>
      </c>
      <c r="F641">
        <v>7281</v>
      </c>
      <c r="I641">
        <v>327</v>
      </c>
      <c r="J641">
        <v>326</v>
      </c>
      <c r="M641" t="s">
        <v>1493</v>
      </c>
    </row>
    <row r="642" spans="1:13" x14ac:dyDescent="0.35">
      <c r="A642">
        <v>101397</v>
      </c>
      <c r="B642">
        <v>1019</v>
      </c>
      <c r="C642" t="s">
        <v>602</v>
      </c>
      <c r="D642" t="s">
        <v>962</v>
      </c>
      <c r="E642" t="s">
        <v>1494</v>
      </c>
      <c r="F642">
        <v>3506</v>
      </c>
      <c r="G642">
        <v>220002</v>
      </c>
      <c r="H642" t="s">
        <v>964</v>
      </c>
      <c r="I642">
        <v>327</v>
      </c>
      <c r="J642">
        <v>311</v>
      </c>
      <c r="K642" t="s">
        <v>1000</v>
      </c>
      <c r="L642" t="s">
        <v>965</v>
      </c>
      <c r="M642" t="s">
        <v>1495</v>
      </c>
    </row>
    <row r="643" spans="1:13" x14ac:dyDescent="0.35">
      <c r="A643">
        <v>102611</v>
      </c>
      <c r="B643">
        <v>1865</v>
      </c>
      <c r="C643" t="s">
        <v>602</v>
      </c>
      <c r="D643" t="s">
        <v>1336</v>
      </c>
      <c r="E643" t="s">
        <v>1496</v>
      </c>
      <c r="F643">
        <v>430</v>
      </c>
      <c r="G643">
        <v>221114</v>
      </c>
      <c r="H643" t="s">
        <v>964</v>
      </c>
      <c r="I643">
        <v>327</v>
      </c>
      <c r="J643">
        <v>328</v>
      </c>
      <c r="L643" t="s">
        <v>965</v>
      </c>
      <c r="M643" t="s">
        <v>1497</v>
      </c>
    </row>
    <row r="644" spans="1:13" x14ac:dyDescent="0.35">
      <c r="A644">
        <v>102549</v>
      </c>
      <c r="B644">
        <v>1864</v>
      </c>
      <c r="C644" t="s">
        <v>602</v>
      </c>
      <c r="D644" t="s">
        <v>1336</v>
      </c>
      <c r="E644" t="s">
        <v>1498</v>
      </c>
      <c r="F644">
        <v>422</v>
      </c>
      <c r="G644">
        <v>221049</v>
      </c>
      <c r="H644" t="s">
        <v>964</v>
      </c>
      <c r="I644">
        <v>326</v>
      </c>
      <c r="J644">
        <v>327</v>
      </c>
      <c r="L644" t="s">
        <v>965</v>
      </c>
      <c r="M644" t="s">
        <v>1499</v>
      </c>
    </row>
    <row r="645" spans="1:13" x14ac:dyDescent="0.35">
      <c r="A645">
        <v>104475</v>
      </c>
      <c r="B645">
        <v>3077</v>
      </c>
      <c r="C645" t="s">
        <v>602</v>
      </c>
      <c r="D645" t="s">
        <v>1066</v>
      </c>
      <c r="E645" t="s">
        <v>1500</v>
      </c>
      <c r="F645">
        <v>4797029</v>
      </c>
      <c r="H645" t="s">
        <v>964</v>
      </c>
      <c r="I645">
        <v>326</v>
      </c>
      <c r="J645">
        <v>331</v>
      </c>
      <c r="K645" t="s">
        <v>1065</v>
      </c>
      <c r="L645" t="s">
        <v>965</v>
      </c>
      <c r="M645" t="s">
        <v>1501</v>
      </c>
    </row>
    <row r="646" spans="1:13" x14ac:dyDescent="0.35">
      <c r="A646">
        <v>0</v>
      </c>
      <c r="B646">
        <v>3054</v>
      </c>
      <c r="C646" t="s">
        <v>602</v>
      </c>
      <c r="D646" t="s">
        <v>1301</v>
      </c>
      <c r="E646" t="s">
        <v>1502</v>
      </c>
      <c r="F646">
        <v>7280</v>
      </c>
      <c r="I646">
        <v>326</v>
      </c>
      <c r="J646">
        <v>325</v>
      </c>
      <c r="M646" t="s">
        <v>1502</v>
      </c>
    </row>
    <row r="647" spans="1:13" x14ac:dyDescent="0.35">
      <c r="A647">
        <v>101591</v>
      </c>
      <c r="B647">
        <v>1184</v>
      </c>
      <c r="C647" t="s">
        <v>602</v>
      </c>
      <c r="D647" t="s">
        <v>962</v>
      </c>
      <c r="E647" t="s">
        <v>1503</v>
      </c>
      <c r="F647">
        <v>4107</v>
      </c>
      <c r="G647">
        <v>222725</v>
      </c>
      <c r="H647" t="s">
        <v>964</v>
      </c>
      <c r="I647">
        <v>326</v>
      </c>
      <c r="J647">
        <v>310</v>
      </c>
      <c r="K647" t="s">
        <v>979</v>
      </c>
      <c r="L647" t="s">
        <v>965</v>
      </c>
      <c r="M647" t="s">
        <v>1504</v>
      </c>
    </row>
    <row r="648" spans="1:13" x14ac:dyDescent="0.35">
      <c r="A648">
        <v>101552</v>
      </c>
      <c r="B648">
        <v>1145</v>
      </c>
      <c r="C648" t="s">
        <v>597</v>
      </c>
      <c r="D648" t="s">
        <v>962</v>
      </c>
      <c r="E648" t="s">
        <v>1505</v>
      </c>
      <c r="F648">
        <v>4190</v>
      </c>
      <c r="G648">
        <v>222068</v>
      </c>
      <c r="H648" t="s">
        <v>964</v>
      </c>
      <c r="I648">
        <v>325</v>
      </c>
      <c r="J648">
        <v>309</v>
      </c>
      <c r="K648" t="s">
        <v>1000</v>
      </c>
      <c r="L648" t="s">
        <v>965</v>
      </c>
      <c r="M648" t="s">
        <v>1506</v>
      </c>
    </row>
    <row r="649" spans="1:13" x14ac:dyDescent="0.35">
      <c r="A649">
        <v>0</v>
      </c>
      <c r="B649">
        <v>3053</v>
      </c>
      <c r="C649" t="s">
        <v>602</v>
      </c>
      <c r="D649" t="s">
        <v>1301</v>
      </c>
      <c r="E649" t="s">
        <v>1507</v>
      </c>
      <c r="F649">
        <v>7279</v>
      </c>
      <c r="I649">
        <v>325</v>
      </c>
      <c r="J649">
        <v>324</v>
      </c>
      <c r="M649" t="s">
        <v>1507</v>
      </c>
    </row>
    <row r="650" spans="1:13" x14ac:dyDescent="0.35">
      <c r="A650">
        <v>102512</v>
      </c>
      <c r="B650">
        <v>1863</v>
      </c>
      <c r="C650" t="s">
        <v>602</v>
      </c>
      <c r="D650" t="s">
        <v>1336</v>
      </c>
      <c r="E650" t="s">
        <v>1508</v>
      </c>
      <c r="F650">
        <v>420</v>
      </c>
      <c r="G650">
        <v>1368</v>
      </c>
      <c r="H650" t="s">
        <v>964</v>
      </c>
      <c r="I650">
        <v>325</v>
      </c>
      <c r="J650">
        <v>326</v>
      </c>
      <c r="L650" t="s">
        <v>965</v>
      </c>
      <c r="M650" t="s">
        <v>1509</v>
      </c>
    </row>
    <row r="651" spans="1:13" x14ac:dyDescent="0.35">
      <c r="A651">
        <v>104455</v>
      </c>
      <c r="B651">
        <v>3076</v>
      </c>
      <c r="C651" t="s">
        <v>602</v>
      </c>
      <c r="D651" t="s">
        <v>1066</v>
      </c>
      <c r="E651" t="s">
        <v>1510</v>
      </c>
      <c r="F651">
        <v>4797019</v>
      </c>
      <c r="H651" t="s">
        <v>964</v>
      </c>
      <c r="I651">
        <v>325</v>
      </c>
      <c r="J651">
        <v>330</v>
      </c>
      <c r="K651" t="s">
        <v>1065</v>
      </c>
      <c r="L651" t="s">
        <v>965</v>
      </c>
      <c r="M651" t="s">
        <v>1511</v>
      </c>
    </row>
    <row r="652" spans="1:13" x14ac:dyDescent="0.35">
      <c r="A652">
        <v>102195</v>
      </c>
      <c r="B652">
        <v>1850</v>
      </c>
      <c r="C652" t="s">
        <v>602</v>
      </c>
      <c r="D652" t="s">
        <v>1336</v>
      </c>
      <c r="E652" t="s">
        <v>1512</v>
      </c>
      <c r="F652">
        <v>391</v>
      </c>
      <c r="G652">
        <v>15050</v>
      </c>
      <c r="H652" t="s">
        <v>964</v>
      </c>
      <c r="I652">
        <v>324</v>
      </c>
      <c r="J652">
        <v>325</v>
      </c>
      <c r="L652" t="s">
        <v>965</v>
      </c>
      <c r="M652" t="s">
        <v>1513</v>
      </c>
    </row>
    <row r="653" spans="1:13" x14ac:dyDescent="0.35">
      <c r="A653">
        <v>104368</v>
      </c>
      <c r="B653">
        <v>2762</v>
      </c>
      <c r="C653" t="s">
        <v>602</v>
      </c>
      <c r="D653" t="s">
        <v>1061</v>
      </c>
      <c r="E653" t="s">
        <v>1514</v>
      </c>
      <c r="F653">
        <v>4797455</v>
      </c>
      <c r="G653">
        <v>228845</v>
      </c>
      <c r="H653" t="s">
        <v>964</v>
      </c>
      <c r="I653">
        <v>324</v>
      </c>
      <c r="J653">
        <v>329</v>
      </c>
      <c r="K653" t="s">
        <v>1065</v>
      </c>
      <c r="L653" t="s">
        <v>965</v>
      </c>
      <c r="M653" t="s">
        <v>1515</v>
      </c>
    </row>
    <row r="654" spans="1:13" x14ac:dyDescent="0.35">
      <c r="A654">
        <v>101404</v>
      </c>
      <c r="B654">
        <v>1024</v>
      </c>
      <c r="C654" t="s">
        <v>597</v>
      </c>
      <c r="D654" t="s">
        <v>962</v>
      </c>
      <c r="E654" t="s">
        <v>1516</v>
      </c>
      <c r="F654">
        <v>3507</v>
      </c>
      <c r="G654">
        <v>15037</v>
      </c>
      <c r="I654">
        <v>324</v>
      </c>
      <c r="J654">
        <v>308</v>
      </c>
      <c r="M654" t="s">
        <v>1517</v>
      </c>
    </row>
    <row r="655" spans="1:13" x14ac:dyDescent="0.35">
      <c r="A655">
        <v>0</v>
      </c>
      <c r="B655">
        <v>3052</v>
      </c>
      <c r="C655" t="s">
        <v>602</v>
      </c>
      <c r="D655" t="s">
        <v>1301</v>
      </c>
      <c r="E655" t="s">
        <v>1518</v>
      </c>
      <c r="F655">
        <v>7278</v>
      </c>
      <c r="I655">
        <v>324</v>
      </c>
      <c r="J655">
        <v>323</v>
      </c>
      <c r="M655" t="s">
        <v>1518</v>
      </c>
    </row>
    <row r="656" spans="1:13" x14ac:dyDescent="0.35">
      <c r="A656">
        <v>104216</v>
      </c>
      <c r="B656">
        <v>1262</v>
      </c>
      <c r="C656" t="s">
        <v>602</v>
      </c>
      <c r="D656" t="s">
        <v>962</v>
      </c>
      <c r="E656" t="s">
        <v>1519</v>
      </c>
      <c r="F656">
        <v>5461</v>
      </c>
      <c r="G656">
        <v>227231</v>
      </c>
      <c r="H656" t="s">
        <v>964</v>
      </c>
      <c r="I656">
        <v>323</v>
      </c>
      <c r="J656">
        <v>307</v>
      </c>
      <c r="K656" t="s">
        <v>1000</v>
      </c>
      <c r="L656" t="s">
        <v>965</v>
      </c>
      <c r="M656" t="s">
        <v>1520</v>
      </c>
    </row>
    <row r="657" spans="1:13" x14ac:dyDescent="0.35">
      <c r="A657">
        <v>0</v>
      </c>
      <c r="B657">
        <v>3051</v>
      </c>
      <c r="C657" t="s">
        <v>602</v>
      </c>
      <c r="D657" t="s">
        <v>1301</v>
      </c>
      <c r="E657" t="s">
        <v>1521</v>
      </c>
      <c r="F657">
        <v>7277</v>
      </c>
      <c r="I657">
        <v>323</v>
      </c>
      <c r="J657">
        <v>322</v>
      </c>
      <c r="M657" t="s">
        <v>1521</v>
      </c>
    </row>
    <row r="658" spans="1:13" x14ac:dyDescent="0.35">
      <c r="A658">
        <v>104430</v>
      </c>
      <c r="B658">
        <v>2682</v>
      </c>
      <c r="C658" t="s">
        <v>602</v>
      </c>
      <c r="D658" t="s">
        <v>1066</v>
      </c>
      <c r="E658" t="s">
        <v>1522</v>
      </c>
      <c r="F658">
        <v>4797393</v>
      </c>
      <c r="H658" t="s">
        <v>964</v>
      </c>
      <c r="I658">
        <v>323</v>
      </c>
      <c r="J658">
        <v>328</v>
      </c>
      <c r="K658" t="s">
        <v>1065</v>
      </c>
      <c r="L658" t="s">
        <v>965</v>
      </c>
      <c r="M658" t="s">
        <v>1523</v>
      </c>
    </row>
    <row r="659" spans="1:13" x14ac:dyDescent="0.35">
      <c r="A659">
        <v>103655</v>
      </c>
      <c r="B659">
        <v>1882</v>
      </c>
      <c r="C659" t="s">
        <v>602</v>
      </c>
      <c r="D659" t="s">
        <v>1336</v>
      </c>
      <c r="E659" t="s">
        <v>1524</v>
      </c>
      <c r="F659">
        <v>336</v>
      </c>
      <c r="G659">
        <v>223170</v>
      </c>
      <c r="H659" t="s">
        <v>964</v>
      </c>
      <c r="I659">
        <v>323</v>
      </c>
      <c r="J659">
        <v>324</v>
      </c>
      <c r="L659" t="s">
        <v>965</v>
      </c>
      <c r="M659" t="s">
        <v>1525</v>
      </c>
    </row>
    <row r="660" spans="1:13" x14ac:dyDescent="0.35">
      <c r="A660">
        <v>0</v>
      </c>
      <c r="B660">
        <v>3050</v>
      </c>
      <c r="C660" t="s">
        <v>602</v>
      </c>
      <c r="D660" t="s">
        <v>1301</v>
      </c>
      <c r="E660" t="s">
        <v>1526</v>
      </c>
      <c r="F660">
        <v>7276</v>
      </c>
      <c r="I660">
        <v>322</v>
      </c>
      <c r="J660">
        <v>321</v>
      </c>
      <c r="M660" t="s">
        <v>1526</v>
      </c>
    </row>
    <row r="661" spans="1:13" x14ac:dyDescent="0.35">
      <c r="A661">
        <v>101575</v>
      </c>
      <c r="B661">
        <v>1168</v>
      </c>
      <c r="C661" t="s">
        <v>602</v>
      </c>
      <c r="D661" t="s">
        <v>962</v>
      </c>
      <c r="E661" t="s">
        <v>1527</v>
      </c>
      <c r="F661">
        <v>4100</v>
      </c>
      <c r="G661">
        <v>222383</v>
      </c>
      <c r="H661" t="s">
        <v>964</v>
      </c>
      <c r="I661">
        <v>322</v>
      </c>
      <c r="J661">
        <v>306</v>
      </c>
      <c r="K661" t="s">
        <v>1000</v>
      </c>
      <c r="L661" t="s">
        <v>965</v>
      </c>
      <c r="M661" t="s">
        <v>1528</v>
      </c>
    </row>
    <row r="662" spans="1:13" x14ac:dyDescent="0.35">
      <c r="A662">
        <v>101115</v>
      </c>
      <c r="B662">
        <v>1340</v>
      </c>
      <c r="C662" t="s">
        <v>602</v>
      </c>
      <c r="D662" t="s">
        <v>1336</v>
      </c>
      <c r="E662" t="s">
        <v>1529</v>
      </c>
      <c r="F662">
        <v>335</v>
      </c>
      <c r="G662">
        <v>219158</v>
      </c>
      <c r="H662" t="s">
        <v>964</v>
      </c>
      <c r="I662">
        <v>322</v>
      </c>
      <c r="J662">
        <v>323</v>
      </c>
      <c r="L662" t="s">
        <v>965</v>
      </c>
      <c r="M662" t="s">
        <v>1530</v>
      </c>
    </row>
    <row r="663" spans="1:13" x14ac:dyDescent="0.35">
      <c r="A663">
        <v>0</v>
      </c>
      <c r="B663">
        <v>2681</v>
      </c>
      <c r="C663" t="s">
        <v>597</v>
      </c>
      <c r="D663" t="s">
        <v>1066</v>
      </c>
      <c r="E663" t="s">
        <v>1531</v>
      </c>
      <c r="F663">
        <v>4797382</v>
      </c>
      <c r="H663" t="s">
        <v>964</v>
      </c>
      <c r="I663">
        <v>322</v>
      </c>
      <c r="J663">
        <v>327</v>
      </c>
      <c r="K663" t="s">
        <v>1532</v>
      </c>
      <c r="L663" t="s">
        <v>965</v>
      </c>
      <c r="M663" t="s">
        <v>1533</v>
      </c>
    </row>
    <row r="664" spans="1:13" x14ac:dyDescent="0.35">
      <c r="A664">
        <v>104478</v>
      </c>
      <c r="B664">
        <v>2680</v>
      </c>
      <c r="C664" t="s">
        <v>602</v>
      </c>
      <c r="D664" t="s">
        <v>1066</v>
      </c>
      <c r="E664" t="s">
        <v>1534</v>
      </c>
      <c r="F664">
        <v>4797217</v>
      </c>
      <c r="H664" t="s">
        <v>964</v>
      </c>
      <c r="I664">
        <v>321</v>
      </c>
      <c r="J664">
        <v>326</v>
      </c>
      <c r="K664" t="s">
        <v>1065</v>
      </c>
      <c r="L664" t="s">
        <v>965</v>
      </c>
      <c r="M664" t="s">
        <v>1535</v>
      </c>
    </row>
    <row r="665" spans="1:13" x14ac:dyDescent="0.35">
      <c r="A665">
        <v>101346</v>
      </c>
      <c r="B665">
        <v>978</v>
      </c>
      <c r="C665" t="s">
        <v>602</v>
      </c>
      <c r="D665" t="s">
        <v>962</v>
      </c>
      <c r="E665" t="s">
        <v>1536</v>
      </c>
      <c r="F665">
        <v>5620</v>
      </c>
      <c r="G665">
        <v>219767</v>
      </c>
      <c r="H665" t="s">
        <v>964</v>
      </c>
      <c r="I665">
        <v>321</v>
      </c>
      <c r="J665">
        <v>305</v>
      </c>
      <c r="K665" t="s">
        <v>1000</v>
      </c>
      <c r="L665" t="s">
        <v>965</v>
      </c>
      <c r="M665" t="s">
        <v>1537</v>
      </c>
    </row>
    <row r="666" spans="1:13" x14ac:dyDescent="0.35">
      <c r="A666">
        <v>101862</v>
      </c>
      <c r="B666">
        <v>1357</v>
      </c>
      <c r="C666" t="s">
        <v>602</v>
      </c>
      <c r="D666" t="s">
        <v>1336</v>
      </c>
      <c r="E666" t="s">
        <v>1538</v>
      </c>
      <c r="F666">
        <v>290</v>
      </c>
      <c r="G666">
        <v>1360</v>
      </c>
      <c r="H666" t="s">
        <v>964</v>
      </c>
      <c r="I666">
        <v>321</v>
      </c>
      <c r="J666">
        <v>322</v>
      </c>
      <c r="L666" t="s">
        <v>965</v>
      </c>
      <c r="M666" t="s">
        <v>1539</v>
      </c>
    </row>
    <row r="667" spans="1:13" x14ac:dyDescent="0.35">
      <c r="A667">
        <v>0</v>
      </c>
      <c r="B667">
        <v>3049</v>
      </c>
      <c r="C667" t="s">
        <v>602</v>
      </c>
      <c r="D667" t="s">
        <v>1301</v>
      </c>
      <c r="E667" t="s">
        <v>1540</v>
      </c>
      <c r="F667">
        <v>7275</v>
      </c>
      <c r="I667">
        <v>321</v>
      </c>
      <c r="J667">
        <v>320</v>
      </c>
      <c r="M667" t="s">
        <v>1540</v>
      </c>
    </row>
    <row r="668" spans="1:13" x14ac:dyDescent="0.35">
      <c r="A668">
        <v>0</v>
      </c>
      <c r="B668">
        <v>3048</v>
      </c>
      <c r="C668" t="s">
        <v>602</v>
      </c>
      <c r="D668" t="s">
        <v>1301</v>
      </c>
      <c r="E668" t="s">
        <v>1541</v>
      </c>
      <c r="F668">
        <v>7274</v>
      </c>
      <c r="I668">
        <v>320</v>
      </c>
      <c r="J668">
        <v>319</v>
      </c>
      <c r="M668" t="s">
        <v>1541</v>
      </c>
    </row>
    <row r="669" spans="1:13" x14ac:dyDescent="0.35">
      <c r="A669">
        <v>101814</v>
      </c>
      <c r="B669">
        <v>1354</v>
      </c>
      <c r="C669" t="s">
        <v>602</v>
      </c>
      <c r="D669" t="s">
        <v>1336</v>
      </c>
      <c r="E669" t="s">
        <v>1542</v>
      </c>
      <c r="F669">
        <v>272</v>
      </c>
      <c r="G669">
        <v>219722</v>
      </c>
      <c r="H669" t="s">
        <v>964</v>
      </c>
      <c r="I669">
        <v>320</v>
      </c>
      <c r="J669">
        <v>321</v>
      </c>
      <c r="L669" t="s">
        <v>965</v>
      </c>
      <c r="M669" t="s">
        <v>1543</v>
      </c>
    </row>
    <row r="670" spans="1:13" x14ac:dyDescent="0.35">
      <c r="A670">
        <v>101479</v>
      </c>
      <c r="B670">
        <v>1079</v>
      </c>
      <c r="C670" t="s">
        <v>602</v>
      </c>
      <c r="D670" t="s">
        <v>962</v>
      </c>
      <c r="E670" t="s">
        <v>1544</v>
      </c>
      <c r="F670">
        <v>3565</v>
      </c>
      <c r="G670">
        <v>221279</v>
      </c>
      <c r="H670" t="s">
        <v>964</v>
      </c>
      <c r="I670">
        <v>320</v>
      </c>
      <c r="J670">
        <v>304</v>
      </c>
      <c r="K670" t="s">
        <v>1000</v>
      </c>
      <c r="L670" t="s">
        <v>965</v>
      </c>
      <c r="M670" t="s">
        <v>1545</v>
      </c>
    </row>
    <row r="671" spans="1:13" x14ac:dyDescent="0.35">
      <c r="A671">
        <v>104477</v>
      </c>
      <c r="B671">
        <v>2679</v>
      </c>
      <c r="C671" t="s">
        <v>602</v>
      </c>
      <c r="D671" t="s">
        <v>1066</v>
      </c>
      <c r="E671" t="s">
        <v>1546</v>
      </c>
      <c r="F671">
        <v>4797016</v>
      </c>
      <c r="H671" t="s">
        <v>964</v>
      </c>
      <c r="I671">
        <v>320</v>
      </c>
      <c r="J671">
        <v>325</v>
      </c>
      <c r="K671" t="s">
        <v>1065</v>
      </c>
      <c r="L671" t="s">
        <v>965</v>
      </c>
      <c r="M671" t="s">
        <v>1547</v>
      </c>
    </row>
    <row r="672" spans="1:13" x14ac:dyDescent="0.35">
      <c r="A672">
        <v>102317</v>
      </c>
      <c r="B672">
        <v>1857</v>
      </c>
      <c r="C672" t="s">
        <v>602</v>
      </c>
      <c r="D672" t="s">
        <v>1336</v>
      </c>
      <c r="E672" t="s">
        <v>1548</v>
      </c>
      <c r="F672">
        <v>268</v>
      </c>
      <c r="G672">
        <v>1512</v>
      </c>
      <c r="H672" t="s">
        <v>964</v>
      </c>
      <c r="I672">
        <v>319</v>
      </c>
      <c r="J672">
        <v>320</v>
      </c>
      <c r="L672" t="s">
        <v>965</v>
      </c>
      <c r="M672" t="s">
        <v>1549</v>
      </c>
    </row>
    <row r="673" spans="1:13" x14ac:dyDescent="0.35">
      <c r="A673">
        <v>104447</v>
      </c>
      <c r="B673">
        <v>2678</v>
      </c>
      <c r="C673" t="s">
        <v>602</v>
      </c>
      <c r="D673" t="s">
        <v>1066</v>
      </c>
      <c r="E673" t="s">
        <v>1550</v>
      </c>
      <c r="F673">
        <v>4797005</v>
      </c>
      <c r="H673" t="s">
        <v>964</v>
      </c>
      <c r="I673">
        <v>319</v>
      </c>
      <c r="J673">
        <v>324</v>
      </c>
      <c r="K673" t="s">
        <v>1065</v>
      </c>
      <c r="L673" t="s">
        <v>965</v>
      </c>
      <c r="M673" t="s">
        <v>1551</v>
      </c>
    </row>
    <row r="674" spans="1:13" x14ac:dyDescent="0.35">
      <c r="A674">
        <v>0</v>
      </c>
      <c r="B674">
        <v>3047</v>
      </c>
      <c r="C674" t="s">
        <v>602</v>
      </c>
      <c r="D674" t="s">
        <v>1301</v>
      </c>
      <c r="E674" t="s">
        <v>1552</v>
      </c>
      <c r="F674">
        <v>7273</v>
      </c>
      <c r="I674">
        <v>319</v>
      </c>
      <c r="J674">
        <v>318</v>
      </c>
      <c r="M674" t="s">
        <v>1552</v>
      </c>
    </row>
    <row r="675" spans="1:13" x14ac:dyDescent="0.35">
      <c r="A675">
        <v>104429</v>
      </c>
      <c r="B675">
        <v>2677</v>
      </c>
      <c r="C675" t="s">
        <v>602</v>
      </c>
      <c r="D675" t="s">
        <v>1066</v>
      </c>
      <c r="E675" t="s">
        <v>1553</v>
      </c>
      <c r="F675">
        <v>4797189</v>
      </c>
      <c r="H675" t="s">
        <v>964</v>
      </c>
      <c r="I675">
        <v>318</v>
      </c>
      <c r="J675">
        <v>323</v>
      </c>
      <c r="K675" t="s">
        <v>1065</v>
      </c>
      <c r="L675" t="s">
        <v>965</v>
      </c>
      <c r="M675" t="s">
        <v>1554</v>
      </c>
    </row>
    <row r="676" spans="1:13" x14ac:dyDescent="0.35">
      <c r="A676">
        <v>0</v>
      </c>
      <c r="B676">
        <v>3046</v>
      </c>
      <c r="C676" t="s">
        <v>602</v>
      </c>
      <c r="D676" t="s">
        <v>1301</v>
      </c>
      <c r="E676" t="s">
        <v>1555</v>
      </c>
      <c r="F676">
        <v>7272</v>
      </c>
      <c r="I676">
        <v>318</v>
      </c>
      <c r="J676">
        <v>317</v>
      </c>
      <c r="M676" t="s">
        <v>1555</v>
      </c>
    </row>
    <row r="677" spans="1:13" x14ac:dyDescent="0.35">
      <c r="A677">
        <v>102696</v>
      </c>
      <c r="B677">
        <v>1867</v>
      </c>
      <c r="C677" t="s">
        <v>602</v>
      </c>
      <c r="D677" t="s">
        <v>1336</v>
      </c>
      <c r="E677" t="s">
        <v>1556</v>
      </c>
      <c r="F677">
        <v>265</v>
      </c>
      <c r="G677">
        <v>1323</v>
      </c>
      <c r="H677" t="s">
        <v>964</v>
      </c>
      <c r="I677">
        <v>318</v>
      </c>
      <c r="J677">
        <v>319</v>
      </c>
      <c r="L677" t="s">
        <v>965</v>
      </c>
      <c r="M677" t="s">
        <v>1557</v>
      </c>
    </row>
    <row r="678" spans="1:13" x14ac:dyDescent="0.35">
      <c r="A678">
        <v>104230</v>
      </c>
      <c r="B678">
        <v>1894</v>
      </c>
      <c r="C678" t="s">
        <v>602</v>
      </c>
      <c r="D678" t="s">
        <v>1336</v>
      </c>
      <c r="E678" t="s">
        <v>1558</v>
      </c>
      <c r="F678">
        <v>262</v>
      </c>
      <c r="G678">
        <v>227269</v>
      </c>
      <c r="H678" t="s">
        <v>964</v>
      </c>
      <c r="I678">
        <v>317</v>
      </c>
      <c r="J678">
        <v>318</v>
      </c>
      <c r="L678" t="s">
        <v>965</v>
      </c>
      <c r="M678" t="s">
        <v>1559</v>
      </c>
    </row>
    <row r="679" spans="1:13" x14ac:dyDescent="0.35">
      <c r="A679">
        <v>101245</v>
      </c>
      <c r="B679">
        <v>957</v>
      </c>
      <c r="C679" t="s">
        <v>602</v>
      </c>
      <c r="D679" t="s">
        <v>962</v>
      </c>
      <c r="E679" t="s">
        <v>1560</v>
      </c>
      <c r="F679">
        <v>3521</v>
      </c>
      <c r="G679">
        <v>219590</v>
      </c>
      <c r="H679" t="s">
        <v>964</v>
      </c>
      <c r="I679">
        <v>317</v>
      </c>
      <c r="J679">
        <v>301</v>
      </c>
      <c r="K679" t="s">
        <v>979</v>
      </c>
      <c r="L679" t="s">
        <v>980</v>
      </c>
      <c r="M679" t="s">
        <v>1561</v>
      </c>
    </row>
    <row r="680" spans="1:13" x14ac:dyDescent="0.35">
      <c r="A680">
        <v>0</v>
      </c>
      <c r="B680">
        <v>3045</v>
      </c>
      <c r="C680" t="s">
        <v>602</v>
      </c>
      <c r="D680" t="s">
        <v>1301</v>
      </c>
      <c r="E680" t="s">
        <v>1562</v>
      </c>
      <c r="F680">
        <v>7271</v>
      </c>
      <c r="I680">
        <v>317</v>
      </c>
      <c r="J680">
        <v>316</v>
      </c>
      <c r="M680" t="s">
        <v>1562</v>
      </c>
    </row>
    <row r="681" spans="1:13" x14ac:dyDescent="0.35">
      <c r="A681">
        <v>104344</v>
      </c>
      <c r="B681">
        <v>2664</v>
      </c>
      <c r="C681" t="s">
        <v>602</v>
      </c>
      <c r="D681" t="s">
        <v>1066</v>
      </c>
      <c r="E681" t="s">
        <v>1563</v>
      </c>
      <c r="F681">
        <v>4166599</v>
      </c>
      <c r="G681">
        <v>228673</v>
      </c>
      <c r="H681" t="s">
        <v>964</v>
      </c>
      <c r="I681">
        <v>317</v>
      </c>
      <c r="J681">
        <v>322</v>
      </c>
      <c r="K681" t="s">
        <v>1068</v>
      </c>
      <c r="L681" t="s">
        <v>980</v>
      </c>
      <c r="M681" t="s">
        <v>1564</v>
      </c>
    </row>
    <row r="682" spans="1:13" x14ac:dyDescent="0.35">
      <c r="A682">
        <v>0</v>
      </c>
      <c r="B682">
        <v>3044</v>
      </c>
      <c r="C682" t="s">
        <v>602</v>
      </c>
      <c r="D682" t="s">
        <v>1301</v>
      </c>
      <c r="E682" t="s">
        <v>1565</v>
      </c>
      <c r="F682">
        <v>7270</v>
      </c>
      <c r="I682">
        <v>316</v>
      </c>
      <c r="J682">
        <v>315</v>
      </c>
      <c r="M682" t="s">
        <v>1565</v>
      </c>
    </row>
    <row r="683" spans="1:13" x14ac:dyDescent="0.35">
      <c r="A683">
        <v>104369</v>
      </c>
      <c r="B683">
        <v>2675</v>
      </c>
      <c r="C683" t="s">
        <v>602</v>
      </c>
      <c r="D683" t="s">
        <v>1061</v>
      </c>
      <c r="E683" t="s">
        <v>1566</v>
      </c>
      <c r="F683">
        <v>4797408</v>
      </c>
      <c r="G683">
        <v>228573</v>
      </c>
      <c r="H683" t="s">
        <v>964</v>
      </c>
      <c r="I683">
        <v>316</v>
      </c>
      <c r="J683">
        <v>321</v>
      </c>
      <c r="K683" t="s">
        <v>1065</v>
      </c>
      <c r="L683" t="s">
        <v>965</v>
      </c>
      <c r="M683" t="s">
        <v>1567</v>
      </c>
    </row>
    <row r="684" spans="1:13" x14ac:dyDescent="0.35">
      <c r="A684">
        <v>103223</v>
      </c>
      <c r="B684">
        <v>1874</v>
      </c>
      <c r="C684" t="s">
        <v>602</v>
      </c>
      <c r="D684" t="s">
        <v>1336</v>
      </c>
      <c r="E684" t="s">
        <v>1568</v>
      </c>
      <c r="F684">
        <v>259</v>
      </c>
      <c r="G684">
        <v>1359</v>
      </c>
      <c r="H684" t="s">
        <v>964</v>
      </c>
      <c r="I684">
        <v>316</v>
      </c>
      <c r="J684">
        <v>317</v>
      </c>
      <c r="L684" t="s">
        <v>965</v>
      </c>
      <c r="M684" t="s">
        <v>1569</v>
      </c>
    </row>
    <row r="685" spans="1:13" x14ac:dyDescent="0.35">
      <c r="A685">
        <v>102063</v>
      </c>
      <c r="B685">
        <v>1849</v>
      </c>
      <c r="C685" t="s">
        <v>602</v>
      </c>
      <c r="D685" t="s">
        <v>1336</v>
      </c>
      <c r="E685" t="s">
        <v>1570</v>
      </c>
      <c r="F685">
        <v>258</v>
      </c>
      <c r="G685">
        <v>2600</v>
      </c>
      <c r="H685" t="s">
        <v>964</v>
      </c>
      <c r="I685">
        <v>315</v>
      </c>
      <c r="J685">
        <v>316</v>
      </c>
      <c r="L685" t="s">
        <v>965</v>
      </c>
      <c r="M685" t="s">
        <v>1571</v>
      </c>
    </row>
    <row r="686" spans="1:13" x14ac:dyDescent="0.35">
      <c r="A686">
        <v>0</v>
      </c>
      <c r="B686">
        <v>3043</v>
      </c>
      <c r="C686" t="s">
        <v>602</v>
      </c>
      <c r="D686" t="s">
        <v>1301</v>
      </c>
      <c r="E686" t="s">
        <v>1572</v>
      </c>
      <c r="F686">
        <v>7269</v>
      </c>
      <c r="I686">
        <v>315</v>
      </c>
      <c r="J686">
        <v>314</v>
      </c>
      <c r="M686" t="s">
        <v>1572</v>
      </c>
    </row>
    <row r="687" spans="1:13" x14ac:dyDescent="0.35">
      <c r="A687">
        <v>0</v>
      </c>
      <c r="B687">
        <v>3042</v>
      </c>
      <c r="C687" t="s">
        <v>602</v>
      </c>
      <c r="D687" t="s">
        <v>1301</v>
      </c>
      <c r="E687" t="s">
        <v>1573</v>
      </c>
      <c r="F687">
        <v>7268</v>
      </c>
      <c r="I687">
        <v>314</v>
      </c>
      <c r="J687">
        <v>313</v>
      </c>
      <c r="M687" t="s">
        <v>1573</v>
      </c>
    </row>
    <row r="688" spans="1:13" x14ac:dyDescent="0.35">
      <c r="A688">
        <v>102230</v>
      </c>
      <c r="B688">
        <v>1851</v>
      </c>
      <c r="C688" t="s">
        <v>602</v>
      </c>
      <c r="D688" t="s">
        <v>1336</v>
      </c>
      <c r="E688" t="s">
        <v>1574</v>
      </c>
      <c r="F688">
        <v>698</v>
      </c>
      <c r="G688">
        <v>1116</v>
      </c>
      <c r="H688" t="s">
        <v>964</v>
      </c>
      <c r="I688">
        <v>314</v>
      </c>
      <c r="J688">
        <v>315</v>
      </c>
      <c r="L688" t="s">
        <v>965</v>
      </c>
      <c r="M688" t="s">
        <v>1575</v>
      </c>
    </row>
    <row r="689" spans="1:13" x14ac:dyDescent="0.35">
      <c r="A689">
        <v>0</v>
      </c>
      <c r="B689">
        <v>2676</v>
      </c>
      <c r="C689" t="s">
        <v>597</v>
      </c>
      <c r="D689" t="s">
        <v>1066</v>
      </c>
      <c r="E689" t="s">
        <v>1576</v>
      </c>
      <c r="F689">
        <v>4797310</v>
      </c>
      <c r="H689" t="s">
        <v>964</v>
      </c>
      <c r="I689">
        <v>314</v>
      </c>
      <c r="J689">
        <v>319</v>
      </c>
      <c r="K689" t="s">
        <v>1532</v>
      </c>
      <c r="L689" t="s">
        <v>965</v>
      </c>
      <c r="M689" t="s">
        <v>1577</v>
      </c>
    </row>
    <row r="690" spans="1:13" x14ac:dyDescent="0.35">
      <c r="A690">
        <v>103654</v>
      </c>
      <c r="B690">
        <v>1881</v>
      </c>
      <c r="C690" t="s">
        <v>602</v>
      </c>
      <c r="D690" t="s">
        <v>1336</v>
      </c>
      <c r="E690" t="s">
        <v>1578</v>
      </c>
      <c r="F690">
        <v>248</v>
      </c>
      <c r="G690">
        <v>1932</v>
      </c>
      <c r="H690" t="s">
        <v>964</v>
      </c>
      <c r="I690">
        <v>313</v>
      </c>
      <c r="J690">
        <v>314</v>
      </c>
      <c r="L690" t="s">
        <v>965</v>
      </c>
      <c r="M690" t="s">
        <v>1579</v>
      </c>
    </row>
    <row r="691" spans="1:13" x14ac:dyDescent="0.35">
      <c r="A691">
        <v>101532</v>
      </c>
      <c r="B691">
        <v>1126</v>
      </c>
      <c r="C691" t="s">
        <v>602</v>
      </c>
      <c r="D691" t="s">
        <v>962</v>
      </c>
      <c r="E691" t="s">
        <v>1580</v>
      </c>
      <c r="F691">
        <v>3854</v>
      </c>
      <c r="G691">
        <v>221836</v>
      </c>
      <c r="H691" t="s">
        <v>964</v>
      </c>
      <c r="I691">
        <v>313</v>
      </c>
      <c r="J691">
        <v>297</v>
      </c>
      <c r="K691" t="s">
        <v>1000</v>
      </c>
      <c r="L691" t="s">
        <v>1581</v>
      </c>
      <c r="M691" t="s">
        <v>1582</v>
      </c>
    </row>
    <row r="692" spans="1:13" x14ac:dyDescent="0.35">
      <c r="A692">
        <v>0</v>
      </c>
      <c r="B692">
        <v>3041</v>
      </c>
      <c r="C692" t="s">
        <v>602</v>
      </c>
      <c r="D692" t="s">
        <v>1301</v>
      </c>
      <c r="E692" t="s">
        <v>1583</v>
      </c>
      <c r="F692">
        <v>7267</v>
      </c>
      <c r="I692">
        <v>313</v>
      </c>
      <c r="J692">
        <v>312</v>
      </c>
      <c r="M692" t="s">
        <v>1583</v>
      </c>
    </row>
    <row r="693" spans="1:13" x14ac:dyDescent="0.35">
      <c r="A693">
        <v>103270</v>
      </c>
      <c r="B693">
        <v>1468</v>
      </c>
      <c r="C693" t="s">
        <v>602</v>
      </c>
      <c r="D693" t="s">
        <v>1066</v>
      </c>
      <c r="E693" t="s">
        <v>1584</v>
      </c>
      <c r="F693">
        <v>4167117</v>
      </c>
      <c r="G693">
        <v>218521</v>
      </c>
      <c r="H693" t="s">
        <v>964</v>
      </c>
      <c r="I693">
        <v>313</v>
      </c>
      <c r="J693">
        <v>318</v>
      </c>
      <c r="K693" t="s">
        <v>1068</v>
      </c>
      <c r="L693" t="s">
        <v>965</v>
      </c>
      <c r="M693" t="s">
        <v>1585</v>
      </c>
    </row>
    <row r="694" spans="1:13" x14ac:dyDescent="0.35">
      <c r="A694">
        <v>104326</v>
      </c>
      <c r="B694">
        <v>1701</v>
      </c>
      <c r="C694" t="s">
        <v>602</v>
      </c>
      <c r="D694" t="s">
        <v>1066</v>
      </c>
      <c r="E694" t="s">
        <v>1586</v>
      </c>
      <c r="F694">
        <v>4167388</v>
      </c>
      <c r="G694">
        <v>228368</v>
      </c>
      <c r="H694" t="s">
        <v>964</v>
      </c>
      <c r="I694">
        <v>312</v>
      </c>
      <c r="J694">
        <v>317</v>
      </c>
      <c r="K694" t="s">
        <v>1068</v>
      </c>
      <c r="L694" t="s">
        <v>965</v>
      </c>
      <c r="M694" t="s">
        <v>1587</v>
      </c>
    </row>
    <row r="695" spans="1:13" x14ac:dyDescent="0.35">
      <c r="A695">
        <v>0</v>
      </c>
      <c r="B695">
        <v>3040</v>
      </c>
      <c r="C695" t="s">
        <v>602</v>
      </c>
      <c r="D695" t="s">
        <v>1301</v>
      </c>
      <c r="E695" t="s">
        <v>1588</v>
      </c>
      <c r="F695">
        <v>7266</v>
      </c>
      <c r="I695">
        <v>312</v>
      </c>
      <c r="J695">
        <v>311</v>
      </c>
      <c r="M695" t="s">
        <v>1588</v>
      </c>
    </row>
    <row r="696" spans="1:13" x14ac:dyDescent="0.35">
      <c r="A696">
        <v>102313</v>
      </c>
      <c r="B696">
        <v>1853</v>
      </c>
      <c r="C696" t="s">
        <v>602</v>
      </c>
      <c r="D696" t="s">
        <v>1336</v>
      </c>
      <c r="E696" t="s">
        <v>1589</v>
      </c>
      <c r="F696">
        <v>216</v>
      </c>
      <c r="G696">
        <v>22595</v>
      </c>
      <c r="H696" t="s">
        <v>964</v>
      </c>
      <c r="I696">
        <v>312</v>
      </c>
      <c r="J696">
        <v>313</v>
      </c>
      <c r="L696" t="s">
        <v>965</v>
      </c>
      <c r="M696" t="s">
        <v>1590</v>
      </c>
    </row>
    <row r="697" spans="1:13" x14ac:dyDescent="0.35">
      <c r="A697">
        <v>101533</v>
      </c>
      <c r="B697">
        <v>1127</v>
      </c>
      <c r="C697" t="s">
        <v>602</v>
      </c>
      <c r="D697" t="s">
        <v>962</v>
      </c>
      <c r="E697" t="s">
        <v>1591</v>
      </c>
      <c r="F697">
        <v>3855</v>
      </c>
      <c r="G697">
        <v>221835</v>
      </c>
      <c r="H697" t="s">
        <v>964</v>
      </c>
      <c r="I697">
        <v>312</v>
      </c>
      <c r="J697">
        <v>296</v>
      </c>
      <c r="K697" t="s">
        <v>979</v>
      </c>
      <c r="L697" t="s">
        <v>1581</v>
      </c>
      <c r="M697" t="s">
        <v>1592</v>
      </c>
    </row>
    <row r="698" spans="1:13" x14ac:dyDescent="0.35">
      <c r="A698">
        <v>102327</v>
      </c>
      <c r="B698">
        <v>1861</v>
      </c>
      <c r="C698" t="s">
        <v>602</v>
      </c>
      <c r="D698" t="s">
        <v>1336</v>
      </c>
      <c r="E698" t="s">
        <v>1593</v>
      </c>
      <c r="F698">
        <v>146</v>
      </c>
      <c r="G698">
        <v>2056</v>
      </c>
      <c r="H698" t="s">
        <v>964</v>
      </c>
      <c r="I698">
        <v>311</v>
      </c>
      <c r="J698">
        <v>312</v>
      </c>
      <c r="L698" t="s">
        <v>965</v>
      </c>
      <c r="M698" t="s">
        <v>1594</v>
      </c>
    </row>
    <row r="699" spans="1:13" x14ac:dyDescent="0.35">
      <c r="A699">
        <v>103285</v>
      </c>
      <c r="B699">
        <v>1478</v>
      </c>
      <c r="C699" t="s">
        <v>602</v>
      </c>
      <c r="D699" t="s">
        <v>1066</v>
      </c>
      <c r="E699" t="s">
        <v>1595</v>
      </c>
      <c r="F699">
        <v>4167155</v>
      </c>
      <c r="G699">
        <v>222419</v>
      </c>
      <c r="H699" t="s">
        <v>964</v>
      </c>
      <c r="I699">
        <v>311</v>
      </c>
      <c r="J699">
        <v>316</v>
      </c>
      <c r="K699" t="s">
        <v>1068</v>
      </c>
      <c r="L699" t="s">
        <v>980</v>
      </c>
      <c r="M699" t="s">
        <v>1596</v>
      </c>
    </row>
    <row r="700" spans="1:13" x14ac:dyDescent="0.35">
      <c r="A700">
        <v>0</v>
      </c>
      <c r="B700">
        <v>3039</v>
      </c>
      <c r="C700" t="s">
        <v>602</v>
      </c>
      <c r="D700" t="s">
        <v>1301</v>
      </c>
      <c r="E700" t="s">
        <v>1597</v>
      </c>
      <c r="F700">
        <v>7265</v>
      </c>
      <c r="I700">
        <v>311</v>
      </c>
      <c r="J700">
        <v>310</v>
      </c>
      <c r="M700" t="s">
        <v>1597</v>
      </c>
    </row>
    <row r="701" spans="1:13" x14ac:dyDescent="0.35">
      <c r="A701">
        <v>101507</v>
      </c>
      <c r="B701">
        <v>1104</v>
      </c>
      <c r="C701" t="s">
        <v>602</v>
      </c>
      <c r="D701" t="s">
        <v>962</v>
      </c>
      <c r="E701" t="s">
        <v>1598</v>
      </c>
      <c r="F701">
        <v>3722</v>
      </c>
      <c r="G701">
        <v>221604</v>
      </c>
      <c r="H701" t="s">
        <v>964</v>
      </c>
      <c r="I701">
        <v>311</v>
      </c>
      <c r="J701">
        <v>295</v>
      </c>
      <c r="K701" t="s">
        <v>1121</v>
      </c>
      <c r="L701" t="s">
        <v>965</v>
      </c>
      <c r="M701" t="s">
        <v>1599</v>
      </c>
    </row>
    <row r="702" spans="1:13" x14ac:dyDescent="0.35">
      <c r="A702">
        <v>0</v>
      </c>
      <c r="B702">
        <v>3038</v>
      </c>
      <c r="C702" t="s">
        <v>602</v>
      </c>
      <c r="D702" t="s">
        <v>1301</v>
      </c>
      <c r="E702" t="s">
        <v>1600</v>
      </c>
      <c r="F702">
        <v>7264</v>
      </c>
      <c r="I702">
        <v>310</v>
      </c>
      <c r="J702">
        <v>309</v>
      </c>
      <c r="M702" t="s">
        <v>1600</v>
      </c>
    </row>
    <row r="703" spans="1:13" x14ac:dyDescent="0.35">
      <c r="A703">
        <v>101419</v>
      </c>
      <c r="B703">
        <v>1034</v>
      </c>
      <c r="C703" t="s">
        <v>602</v>
      </c>
      <c r="D703" t="s">
        <v>962</v>
      </c>
      <c r="E703" t="s">
        <v>1601</v>
      </c>
      <c r="F703">
        <v>3510</v>
      </c>
      <c r="G703">
        <v>220105</v>
      </c>
      <c r="H703" t="s">
        <v>964</v>
      </c>
      <c r="I703">
        <v>310</v>
      </c>
      <c r="J703">
        <v>294</v>
      </c>
      <c r="K703" t="s">
        <v>1000</v>
      </c>
      <c r="L703" t="s">
        <v>965</v>
      </c>
      <c r="M703" t="s">
        <v>1602</v>
      </c>
    </row>
    <row r="704" spans="1:13" x14ac:dyDescent="0.35">
      <c r="A704">
        <v>101126</v>
      </c>
      <c r="B704">
        <v>1341</v>
      </c>
      <c r="C704" t="s">
        <v>602</v>
      </c>
      <c r="D704" t="s">
        <v>1336</v>
      </c>
      <c r="E704" t="s">
        <v>1603</v>
      </c>
      <c r="F704">
        <v>145</v>
      </c>
      <c r="G704">
        <v>219055</v>
      </c>
      <c r="H704" t="s">
        <v>964</v>
      </c>
      <c r="I704">
        <v>310</v>
      </c>
      <c r="J704">
        <v>311</v>
      </c>
      <c r="L704" t="s">
        <v>965</v>
      </c>
      <c r="M704" t="s">
        <v>1604</v>
      </c>
    </row>
    <row r="705" spans="1:13" x14ac:dyDescent="0.35">
      <c r="A705">
        <v>104297</v>
      </c>
      <c r="B705">
        <v>1697</v>
      </c>
      <c r="C705" t="s">
        <v>602</v>
      </c>
      <c r="D705" t="s">
        <v>1066</v>
      </c>
      <c r="E705" t="s">
        <v>1605</v>
      </c>
      <c r="F705">
        <v>4167386</v>
      </c>
      <c r="G705">
        <v>227738</v>
      </c>
      <c r="H705" t="s">
        <v>964</v>
      </c>
      <c r="I705">
        <v>310</v>
      </c>
      <c r="J705">
        <v>315</v>
      </c>
      <c r="K705" t="s">
        <v>1068</v>
      </c>
      <c r="L705" t="s">
        <v>965</v>
      </c>
      <c r="M705" t="s">
        <v>1606</v>
      </c>
    </row>
    <row r="706" spans="1:13" x14ac:dyDescent="0.35">
      <c r="A706">
        <v>0</v>
      </c>
      <c r="B706">
        <v>3037</v>
      </c>
      <c r="C706" t="s">
        <v>602</v>
      </c>
      <c r="D706" t="s">
        <v>1301</v>
      </c>
      <c r="E706" t="s">
        <v>1607</v>
      </c>
      <c r="F706">
        <v>7263</v>
      </c>
      <c r="I706">
        <v>309</v>
      </c>
      <c r="J706">
        <v>308</v>
      </c>
      <c r="M706" t="s">
        <v>1607</v>
      </c>
    </row>
    <row r="707" spans="1:13" x14ac:dyDescent="0.35">
      <c r="A707">
        <v>103277</v>
      </c>
      <c r="B707">
        <v>1472</v>
      </c>
      <c r="C707" t="s">
        <v>602</v>
      </c>
      <c r="D707" t="s">
        <v>1066</v>
      </c>
      <c r="E707" t="s">
        <v>1608</v>
      </c>
      <c r="F707">
        <v>4167103</v>
      </c>
      <c r="G707">
        <v>220672</v>
      </c>
      <c r="H707" t="s">
        <v>964</v>
      </c>
      <c r="I707">
        <v>309</v>
      </c>
      <c r="J707">
        <v>314</v>
      </c>
      <c r="K707" t="s">
        <v>1068</v>
      </c>
      <c r="L707" t="s">
        <v>980</v>
      </c>
      <c r="M707" t="s">
        <v>1609</v>
      </c>
    </row>
    <row r="708" spans="1:13" x14ac:dyDescent="0.35">
      <c r="A708">
        <v>101813</v>
      </c>
      <c r="B708">
        <v>1353</v>
      </c>
      <c r="C708" t="s">
        <v>602</v>
      </c>
      <c r="D708" t="s">
        <v>1336</v>
      </c>
      <c r="E708" t="s">
        <v>1610</v>
      </c>
      <c r="F708">
        <v>144</v>
      </c>
      <c r="G708">
        <v>2014</v>
      </c>
      <c r="H708" t="s">
        <v>964</v>
      </c>
      <c r="I708">
        <v>309</v>
      </c>
      <c r="J708">
        <v>310</v>
      </c>
      <c r="L708" t="s">
        <v>965</v>
      </c>
      <c r="M708" t="s">
        <v>1611</v>
      </c>
    </row>
    <row r="709" spans="1:13" x14ac:dyDescent="0.35">
      <c r="A709">
        <v>102316</v>
      </c>
      <c r="B709">
        <v>1856</v>
      </c>
      <c r="C709" t="s">
        <v>602</v>
      </c>
      <c r="D709" t="s">
        <v>1336</v>
      </c>
      <c r="E709" t="s">
        <v>1612</v>
      </c>
      <c r="F709">
        <v>143</v>
      </c>
      <c r="G709">
        <v>218629</v>
      </c>
      <c r="H709" t="s">
        <v>964</v>
      </c>
      <c r="I709">
        <v>308</v>
      </c>
      <c r="J709">
        <v>309</v>
      </c>
      <c r="L709" t="s">
        <v>965</v>
      </c>
      <c r="M709" t="s">
        <v>1613</v>
      </c>
    </row>
    <row r="710" spans="1:13" x14ac:dyDescent="0.35">
      <c r="A710">
        <v>103284</v>
      </c>
      <c r="B710">
        <v>1477</v>
      </c>
      <c r="C710" t="s">
        <v>602</v>
      </c>
      <c r="D710" t="s">
        <v>1066</v>
      </c>
      <c r="E710" t="s">
        <v>1614</v>
      </c>
      <c r="F710">
        <v>4167112</v>
      </c>
      <c r="G710">
        <v>222418</v>
      </c>
      <c r="H710" t="s">
        <v>964</v>
      </c>
      <c r="I710">
        <v>308</v>
      </c>
      <c r="J710">
        <v>313</v>
      </c>
      <c r="K710" t="s">
        <v>1068</v>
      </c>
      <c r="L710" t="s">
        <v>980</v>
      </c>
      <c r="M710" t="s">
        <v>1615</v>
      </c>
    </row>
    <row r="711" spans="1:13" x14ac:dyDescent="0.35">
      <c r="A711">
        <v>0</v>
      </c>
      <c r="B711">
        <v>3036</v>
      </c>
      <c r="C711" t="s">
        <v>602</v>
      </c>
      <c r="D711" t="s">
        <v>1301</v>
      </c>
      <c r="E711" t="s">
        <v>1616</v>
      </c>
      <c r="F711">
        <v>7262</v>
      </c>
      <c r="I711">
        <v>308</v>
      </c>
      <c r="J711">
        <v>307</v>
      </c>
      <c r="M711" t="s">
        <v>1616</v>
      </c>
    </row>
    <row r="712" spans="1:13" x14ac:dyDescent="0.35">
      <c r="A712">
        <v>102641</v>
      </c>
      <c r="B712">
        <v>1866</v>
      </c>
      <c r="C712" t="s">
        <v>602</v>
      </c>
      <c r="D712" t="s">
        <v>1336</v>
      </c>
      <c r="E712" t="s">
        <v>1617</v>
      </c>
      <c r="F712">
        <v>429</v>
      </c>
      <c r="G712">
        <v>22652</v>
      </c>
      <c r="H712" t="s">
        <v>964</v>
      </c>
      <c r="I712">
        <v>307</v>
      </c>
      <c r="J712">
        <v>308</v>
      </c>
      <c r="L712" t="s">
        <v>965</v>
      </c>
      <c r="M712" t="s">
        <v>1618</v>
      </c>
    </row>
    <row r="713" spans="1:13" x14ac:dyDescent="0.35">
      <c r="A713">
        <v>103324</v>
      </c>
      <c r="B713">
        <v>1503</v>
      </c>
      <c r="C713" t="s">
        <v>602</v>
      </c>
      <c r="D713" t="s">
        <v>1066</v>
      </c>
      <c r="E713" t="s">
        <v>1619</v>
      </c>
      <c r="F713">
        <v>4167119</v>
      </c>
      <c r="G713">
        <v>222486</v>
      </c>
      <c r="H713" t="s">
        <v>964</v>
      </c>
      <c r="I713">
        <v>307</v>
      </c>
      <c r="J713">
        <v>312</v>
      </c>
      <c r="K713" t="s">
        <v>1068</v>
      </c>
      <c r="L713" t="s">
        <v>965</v>
      </c>
      <c r="M713" t="s">
        <v>1620</v>
      </c>
    </row>
    <row r="714" spans="1:13" x14ac:dyDescent="0.35">
      <c r="A714">
        <v>0</v>
      </c>
      <c r="B714">
        <v>3035</v>
      </c>
      <c r="C714" t="s">
        <v>602</v>
      </c>
      <c r="D714" t="s">
        <v>1301</v>
      </c>
      <c r="E714" t="s">
        <v>1621</v>
      </c>
      <c r="F714">
        <v>7261</v>
      </c>
      <c r="I714">
        <v>307</v>
      </c>
      <c r="J714">
        <v>306</v>
      </c>
      <c r="M714" t="s">
        <v>1621</v>
      </c>
    </row>
    <row r="715" spans="1:13" x14ac:dyDescent="0.35">
      <c r="A715">
        <v>0</v>
      </c>
      <c r="B715">
        <v>3034</v>
      </c>
      <c r="C715" t="s">
        <v>602</v>
      </c>
      <c r="D715" t="s">
        <v>1301</v>
      </c>
      <c r="E715" t="s">
        <v>1622</v>
      </c>
      <c r="F715">
        <v>7260</v>
      </c>
      <c r="I715">
        <v>306</v>
      </c>
      <c r="J715">
        <v>305</v>
      </c>
      <c r="M715" t="s">
        <v>1622</v>
      </c>
    </row>
    <row r="716" spans="1:13" x14ac:dyDescent="0.35">
      <c r="A716">
        <v>103185</v>
      </c>
      <c r="B716">
        <v>1436</v>
      </c>
      <c r="C716" t="s">
        <v>602</v>
      </c>
      <c r="D716" t="s">
        <v>1066</v>
      </c>
      <c r="E716" t="s">
        <v>1623</v>
      </c>
      <c r="F716">
        <v>4167176</v>
      </c>
      <c r="G716">
        <v>222223</v>
      </c>
      <c r="H716" t="s">
        <v>964</v>
      </c>
      <c r="I716">
        <v>306</v>
      </c>
      <c r="J716">
        <v>311</v>
      </c>
      <c r="K716" t="s">
        <v>1068</v>
      </c>
      <c r="L716" t="s">
        <v>965</v>
      </c>
      <c r="M716" t="s">
        <v>1624</v>
      </c>
    </row>
    <row r="717" spans="1:13" x14ac:dyDescent="0.35">
      <c r="A717">
        <v>102314</v>
      </c>
      <c r="B717">
        <v>1854</v>
      </c>
      <c r="C717" t="s">
        <v>602</v>
      </c>
      <c r="D717" t="s">
        <v>1336</v>
      </c>
      <c r="E717" t="s">
        <v>1625</v>
      </c>
      <c r="F717">
        <v>142</v>
      </c>
      <c r="G717">
        <v>3281</v>
      </c>
      <c r="H717" t="s">
        <v>964</v>
      </c>
      <c r="I717">
        <v>306</v>
      </c>
      <c r="J717">
        <v>307</v>
      </c>
      <c r="L717" t="s">
        <v>965</v>
      </c>
      <c r="M717" t="s">
        <v>1626</v>
      </c>
    </row>
    <row r="718" spans="1:13" x14ac:dyDescent="0.35">
      <c r="A718">
        <v>102315</v>
      </c>
      <c r="B718">
        <v>1855</v>
      </c>
      <c r="C718" t="s">
        <v>602</v>
      </c>
      <c r="D718" t="s">
        <v>1336</v>
      </c>
      <c r="E718" t="s">
        <v>1627</v>
      </c>
      <c r="F718">
        <v>141</v>
      </c>
      <c r="G718">
        <v>1970</v>
      </c>
      <c r="H718" t="s">
        <v>964</v>
      </c>
      <c r="I718">
        <v>305</v>
      </c>
      <c r="J718">
        <v>306</v>
      </c>
      <c r="L718" t="s">
        <v>965</v>
      </c>
      <c r="M718" t="s">
        <v>1628</v>
      </c>
    </row>
    <row r="719" spans="1:13" x14ac:dyDescent="0.35">
      <c r="A719">
        <v>0</v>
      </c>
      <c r="B719">
        <v>3033</v>
      </c>
      <c r="C719" t="s">
        <v>602</v>
      </c>
      <c r="D719" t="s">
        <v>1301</v>
      </c>
      <c r="E719" t="s">
        <v>1629</v>
      </c>
      <c r="F719">
        <v>7259</v>
      </c>
      <c r="I719">
        <v>305</v>
      </c>
      <c r="J719">
        <v>304</v>
      </c>
      <c r="M719" t="s">
        <v>1629</v>
      </c>
    </row>
    <row r="720" spans="1:13" x14ac:dyDescent="0.35">
      <c r="A720">
        <v>103327</v>
      </c>
      <c r="B720">
        <v>1506</v>
      </c>
      <c r="C720" t="s">
        <v>597</v>
      </c>
      <c r="D720" t="s">
        <v>1066</v>
      </c>
      <c r="E720" t="s">
        <v>1630</v>
      </c>
      <c r="F720">
        <v>4167091</v>
      </c>
      <c r="G720">
        <v>222485</v>
      </c>
      <c r="H720" t="s">
        <v>964</v>
      </c>
      <c r="I720">
        <v>305</v>
      </c>
      <c r="J720">
        <v>310</v>
      </c>
      <c r="L720" t="s">
        <v>965</v>
      </c>
      <c r="M720" t="s">
        <v>1631</v>
      </c>
    </row>
    <row r="721" spans="1:13" x14ac:dyDescent="0.35">
      <c r="A721">
        <v>101850</v>
      </c>
      <c r="B721">
        <v>1355</v>
      </c>
      <c r="C721" t="s">
        <v>602</v>
      </c>
      <c r="D721" t="s">
        <v>1336</v>
      </c>
      <c r="E721" t="s">
        <v>1632</v>
      </c>
      <c r="F721">
        <v>140</v>
      </c>
      <c r="G721">
        <v>1939</v>
      </c>
      <c r="H721" t="s">
        <v>964</v>
      </c>
      <c r="I721">
        <v>304</v>
      </c>
      <c r="J721">
        <v>305</v>
      </c>
      <c r="L721" t="s">
        <v>965</v>
      </c>
      <c r="M721" t="s">
        <v>1633</v>
      </c>
    </row>
    <row r="722" spans="1:13" x14ac:dyDescent="0.35">
      <c r="A722">
        <v>103374</v>
      </c>
      <c r="B722">
        <v>1529</v>
      </c>
      <c r="C722" t="s">
        <v>602</v>
      </c>
      <c r="D722" t="s">
        <v>1066</v>
      </c>
      <c r="E722" t="s">
        <v>1634</v>
      </c>
      <c r="F722">
        <v>4167109</v>
      </c>
      <c r="G722">
        <v>222662</v>
      </c>
      <c r="H722" t="s">
        <v>964</v>
      </c>
      <c r="I722">
        <v>304</v>
      </c>
      <c r="J722">
        <v>309</v>
      </c>
      <c r="K722" t="s">
        <v>1068</v>
      </c>
      <c r="L722" t="s">
        <v>965</v>
      </c>
      <c r="M722" t="s">
        <v>1635</v>
      </c>
    </row>
    <row r="723" spans="1:13" x14ac:dyDescent="0.35">
      <c r="A723">
        <v>0</v>
      </c>
      <c r="B723">
        <v>3032</v>
      </c>
      <c r="C723" t="s">
        <v>602</v>
      </c>
      <c r="D723" t="s">
        <v>1301</v>
      </c>
      <c r="E723" t="s">
        <v>1636</v>
      </c>
      <c r="F723">
        <v>7258</v>
      </c>
      <c r="I723">
        <v>304</v>
      </c>
      <c r="J723">
        <v>303</v>
      </c>
      <c r="M723" t="s">
        <v>1636</v>
      </c>
    </row>
    <row r="724" spans="1:13" x14ac:dyDescent="0.35">
      <c r="A724">
        <v>101796</v>
      </c>
      <c r="B724">
        <v>1351</v>
      </c>
      <c r="C724" t="s">
        <v>602</v>
      </c>
      <c r="D724" t="s">
        <v>1336</v>
      </c>
      <c r="E724" t="s">
        <v>1637</v>
      </c>
      <c r="F724">
        <v>137</v>
      </c>
      <c r="G724">
        <v>21664</v>
      </c>
      <c r="H724" t="s">
        <v>964</v>
      </c>
      <c r="I724">
        <v>303</v>
      </c>
      <c r="J724">
        <v>304</v>
      </c>
      <c r="L724" t="s">
        <v>965</v>
      </c>
      <c r="M724" t="s">
        <v>1638</v>
      </c>
    </row>
    <row r="725" spans="1:13" x14ac:dyDescent="0.35">
      <c r="A725">
        <v>0</v>
      </c>
      <c r="B725">
        <v>3031</v>
      </c>
      <c r="C725" t="s">
        <v>602</v>
      </c>
      <c r="D725" t="s">
        <v>1301</v>
      </c>
      <c r="E725" t="s">
        <v>1639</v>
      </c>
      <c r="F725">
        <v>7257</v>
      </c>
      <c r="I725">
        <v>303</v>
      </c>
      <c r="J725">
        <v>302</v>
      </c>
      <c r="M725" t="s">
        <v>1639</v>
      </c>
    </row>
    <row r="726" spans="1:13" x14ac:dyDescent="0.35">
      <c r="A726">
        <v>103492</v>
      </c>
      <c r="B726">
        <v>1614</v>
      </c>
      <c r="C726" t="s">
        <v>602</v>
      </c>
      <c r="D726" t="s">
        <v>1066</v>
      </c>
      <c r="E726" t="s">
        <v>1640</v>
      </c>
      <c r="F726">
        <v>4167153</v>
      </c>
      <c r="G726">
        <v>222826</v>
      </c>
      <c r="H726" t="s">
        <v>964</v>
      </c>
      <c r="I726">
        <v>303</v>
      </c>
      <c r="J726">
        <v>308</v>
      </c>
      <c r="K726" t="s">
        <v>1068</v>
      </c>
      <c r="L726" t="s">
        <v>965</v>
      </c>
      <c r="M726" t="s">
        <v>1641</v>
      </c>
    </row>
    <row r="727" spans="1:13" x14ac:dyDescent="0.35">
      <c r="A727">
        <v>101066</v>
      </c>
      <c r="B727">
        <v>1337</v>
      </c>
      <c r="C727" t="s">
        <v>602</v>
      </c>
      <c r="D727" t="s">
        <v>1336</v>
      </c>
      <c r="E727" t="s">
        <v>1642</v>
      </c>
      <c r="F727">
        <v>136</v>
      </c>
      <c r="G727">
        <v>218078</v>
      </c>
      <c r="H727" t="s">
        <v>964</v>
      </c>
      <c r="I727">
        <v>302</v>
      </c>
      <c r="J727">
        <v>303</v>
      </c>
      <c r="L727" t="s">
        <v>965</v>
      </c>
      <c r="M727" t="s">
        <v>1643</v>
      </c>
    </row>
    <row r="728" spans="1:13" x14ac:dyDescent="0.35">
      <c r="A728">
        <v>0</v>
      </c>
      <c r="B728">
        <v>3030</v>
      </c>
      <c r="C728" t="s">
        <v>602</v>
      </c>
      <c r="D728" t="s">
        <v>1301</v>
      </c>
      <c r="E728" t="s">
        <v>1644</v>
      </c>
      <c r="F728">
        <v>7256</v>
      </c>
      <c r="I728">
        <v>302</v>
      </c>
      <c r="J728">
        <v>301</v>
      </c>
      <c r="M728" t="s">
        <v>1644</v>
      </c>
    </row>
    <row r="729" spans="1:13" x14ac:dyDescent="0.35">
      <c r="A729">
        <v>104241</v>
      </c>
      <c r="B729">
        <v>1692</v>
      </c>
      <c r="C729" t="s">
        <v>602</v>
      </c>
      <c r="D729" t="s">
        <v>1066</v>
      </c>
      <c r="E729" t="s">
        <v>1645</v>
      </c>
      <c r="F729">
        <v>4167375</v>
      </c>
      <c r="G729">
        <v>227359</v>
      </c>
      <c r="H729" t="s">
        <v>964</v>
      </c>
      <c r="I729">
        <v>302</v>
      </c>
      <c r="J729">
        <v>307</v>
      </c>
      <c r="K729" t="s">
        <v>1068</v>
      </c>
      <c r="L729" t="s">
        <v>965</v>
      </c>
      <c r="M729" t="s">
        <v>1646</v>
      </c>
    </row>
    <row r="730" spans="1:13" x14ac:dyDescent="0.35">
      <c r="A730">
        <v>101993</v>
      </c>
      <c r="B730">
        <v>1847</v>
      </c>
      <c r="C730" t="s">
        <v>602</v>
      </c>
      <c r="D730" t="s">
        <v>1336</v>
      </c>
      <c r="E730" t="s">
        <v>1647</v>
      </c>
      <c r="F730">
        <v>135</v>
      </c>
      <c r="G730">
        <v>1695</v>
      </c>
      <c r="H730" t="s">
        <v>964</v>
      </c>
      <c r="I730">
        <v>301</v>
      </c>
      <c r="J730">
        <v>302</v>
      </c>
      <c r="L730" t="s">
        <v>965</v>
      </c>
      <c r="M730" t="s">
        <v>1648</v>
      </c>
    </row>
    <row r="731" spans="1:13" x14ac:dyDescent="0.35">
      <c r="A731">
        <v>0</v>
      </c>
      <c r="B731">
        <v>3029</v>
      </c>
      <c r="C731" t="s">
        <v>602</v>
      </c>
      <c r="D731" t="s">
        <v>1301</v>
      </c>
      <c r="E731" t="s">
        <v>1649</v>
      </c>
      <c r="F731">
        <v>7255</v>
      </c>
      <c r="I731">
        <v>301</v>
      </c>
      <c r="J731">
        <v>300</v>
      </c>
      <c r="M731" t="s">
        <v>1649</v>
      </c>
    </row>
    <row r="732" spans="1:13" x14ac:dyDescent="0.35">
      <c r="A732">
        <v>104265</v>
      </c>
      <c r="B732">
        <v>1695</v>
      </c>
      <c r="C732" t="s">
        <v>602</v>
      </c>
      <c r="D732" t="s">
        <v>1066</v>
      </c>
      <c r="E732" t="s">
        <v>1650</v>
      </c>
      <c r="F732">
        <v>4167374</v>
      </c>
      <c r="G732">
        <v>227567</v>
      </c>
      <c r="H732" t="s">
        <v>964</v>
      </c>
      <c r="I732">
        <v>301</v>
      </c>
      <c r="J732">
        <v>306</v>
      </c>
      <c r="K732" t="s">
        <v>1068</v>
      </c>
      <c r="L732" t="s">
        <v>980</v>
      </c>
      <c r="M732" t="s">
        <v>1651</v>
      </c>
    </row>
    <row r="733" spans="1:13" x14ac:dyDescent="0.35">
      <c r="A733">
        <v>103294</v>
      </c>
      <c r="B733">
        <v>1483</v>
      </c>
      <c r="C733" t="s">
        <v>602</v>
      </c>
      <c r="D733" t="s">
        <v>1066</v>
      </c>
      <c r="E733" t="s">
        <v>1652</v>
      </c>
      <c r="F733">
        <v>4167108</v>
      </c>
      <c r="G733">
        <v>222454</v>
      </c>
      <c r="H733" t="s">
        <v>964</v>
      </c>
      <c r="I733">
        <v>300</v>
      </c>
      <c r="J733">
        <v>305</v>
      </c>
      <c r="K733" t="s">
        <v>1068</v>
      </c>
      <c r="L733" t="s">
        <v>980</v>
      </c>
      <c r="M733" t="s">
        <v>1653</v>
      </c>
    </row>
    <row r="734" spans="1:13" x14ac:dyDescent="0.35">
      <c r="A734">
        <v>0</v>
      </c>
      <c r="B734">
        <v>3028</v>
      </c>
      <c r="C734" t="s">
        <v>602</v>
      </c>
      <c r="D734" t="s">
        <v>1301</v>
      </c>
      <c r="E734" t="s">
        <v>1654</v>
      </c>
      <c r="F734">
        <v>7254</v>
      </c>
      <c r="I734">
        <v>300</v>
      </c>
      <c r="J734">
        <v>299</v>
      </c>
      <c r="M734" t="s">
        <v>1654</v>
      </c>
    </row>
    <row r="735" spans="1:13" x14ac:dyDescent="0.35">
      <c r="A735">
        <v>102320</v>
      </c>
      <c r="B735">
        <v>1860</v>
      </c>
      <c r="C735" t="s">
        <v>602</v>
      </c>
      <c r="D735" t="s">
        <v>1336</v>
      </c>
      <c r="E735" t="s">
        <v>1655</v>
      </c>
      <c r="F735">
        <v>134</v>
      </c>
      <c r="G735">
        <v>1649</v>
      </c>
      <c r="H735" t="s">
        <v>964</v>
      </c>
      <c r="I735">
        <v>300</v>
      </c>
      <c r="J735">
        <v>301</v>
      </c>
      <c r="L735" t="s">
        <v>965</v>
      </c>
      <c r="M735" t="s">
        <v>1656</v>
      </c>
    </row>
    <row r="736" spans="1:13" x14ac:dyDescent="0.35">
      <c r="A736">
        <v>101274</v>
      </c>
      <c r="B736">
        <v>1344</v>
      </c>
      <c r="C736" t="s">
        <v>602</v>
      </c>
      <c r="D736" t="s">
        <v>1336</v>
      </c>
      <c r="E736" t="s">
        <v>1657</v>
      </c>
      <c r="F736">
        <v>130</v>
      </c>
      <c r="G736">
        <v>3108</v>
      </c>
      <c r="H736" t="s">
        <v>964</v>
      </c>
      <c r="I736">
        <v>299</v>
      </c>
      <c r="J736">
        <v>300</v>
      </c>
      <c r="L736" t="s">
        <v>965</v>
      </c>
      <c r="M736" t="s">
        <v>1658</v>
      </c>
    </row>
    <row r="737" spans="1:13" x14ac:dyDescent="0.35">
      <c r="A737">
        <v>103375</v>
      </c>
      <c r="B737">
        <v>1703</v>
      </c>
      <c r="C737" t="s">
        <v>602</v>
      </c>
      <c r="D737" t="s">
        <v>1066</v>
      </c>
      <c r="E737" t="s">
        <v>1659</v>
      </c>
      <c r="F737">
        <v>4167184</v>
      </c>
      <c r="G737">
        <v>222698</v>
      </c>
      <c r="H737" t="s">
        <v>964</v>
      </c>
      <c r="I737">
        <v>299</v>
      </c>
      <c r="J737">
        <v>304</v>
      </c>
      <c r="K737" t="s">
        <v>1068</v>
      </c>
      <c r="L737" t="s">
        <v>965</v>
      </c>
      <c r="M737" t="s">
        <v>1660</v>
      </c>
    </row>
    <row r="738" spans="1:13" x14ac:dyDescent="0.35">
      <c r="A738">
        <v>0</v>
      </c>
      <c r="B738">
        <v>3027</v>
      </c>
      <c r="C738" t="s">
        <v>602</v>
      </c>
      <c r="D738" t="s">
        <v>1301</v>
      </c>
      <c r="E738" t="s">
        <v>1661</v>
      </c>
      <c r="F738">
        <v>7253</v>
      </c>
      <c r="I738">
        <v>299</v>
      </c>
      <c r="J738">
        <v>298</v>
      </c>
      <c r="M738" t="s">
        <v>1661</v>
      </c>
    </row>
    <row r="739" spans="1:13" x14ac:dyDescent="0.35">
      <c r="A739">
        <v>101451</v>
      </c>
      <c r="B739">
        <v>1057</v>
      </c>
      <c r="C739" t="s">
        <v>602</v>
      </c>
      <c r="D739" t="s">
        <v>962</v>
      </c>
      <c r="E739" t="s">
        <v>1662</v>
      </c>
      <c r="F739">
        <v>3515</v>
      </c>
      <c r="G739">
        <v>220700</v>
      </c>
      <c r="H739" t="s">
        <v>964</v>
      </c>
      <c r="I739">
        <v>298</v>
      </c>
      <c r="J739">
        <v>282</v>
      </c>
      <c r="K739" t="s">
        <v>979</v>
      </c>
      <c r="L739" t="s">
        <v>965</v>
      </c>
      <c r="M739" t="s">
        <v>1663</v>
      </c>
    </row>
    <row r="740" spans="1:13" x14ac:dyDescent="0.35">
      <c r="A740">
        <v>101785</v>
      </c>
      <c r="B740">
        <v>1349</v>
      </c>
      <c r="C740" t="s">
        <v>602</v>
      </c>
      <c r="D740" t="s">
        <v>1336</v>
      </c>
      <c r="E740" t="s">
        <v>1664</v>
      </c>
      <c r="F740">
        <v>128</v>
      </c>
      <c r="G740">
        <v>219588</v>
      </c>
      <c r="H740" t="s">
        <v>964</v>
      </c>
      <c r="I740">
        <v>298</v>
      </c>
      <c r="J740">
        <v>299</v>
      </c>
      <c r="L740" t="s">
        <v>965</v>
      </c>
      <c r="M740" t="s">
        <v>1665</v>
      </c>
    </row>
    <row r="741" spans="1:13" x14ac:dyDescent="0.35">
      <c r="A741">
        <v>0</v>
      </c>
      <c r="B741">
        <v>3026</v>
      </c>
      <c r="C741" t="s">
        <v>602</v>
      </c>
      <c r="D741" t="s">
        <v>1301</v>
      </c>
      <c r="E741" t="s">
        <v>1666</v>
      </c>
      <c r="F741">
        <v>7252</v>
      </c>
      <c r="I741">
        <v>298</v>
      </c>
      <c r="J741">
        <v>297</v>
      </c>
      <c r="M741" t="s">
        <v>1666</v>
      </c>
    </row>
    <row r="742" spans="1:13" x14ac:dyDescent="0.35">
      <c r="A742">
        <v>103196</v>
      </c>
      <c r="B742">
        <v>1438</v>
      </c>
      <c r="C742" t="s">
        <v>602</v>
      </c>
      <c r="D742" t="s">
        <v>1066</v>
      </c>
      <c r="E742" t="s">
        <v>1667</v>
      </c>
      <c r="F742">
        <v>4167177</v>
      </c>
      <c r="G742">
        <v>222249</v>
      </c>
      <c r="H742" t="s">
        <v>964</v>
      </c>
      <c r="I742">
        <v>298</v>
      </c>
      <c r="J742">
        <v>303</v>
      </c>
      <c r="K742" t="s">
        <v>1068</v>
      </c>
      <c r="L742" t="s">
        <v>965</v>
      </c>
      <c r="M742" t="s">
        <v>1668</v>
      </c>
    </row>
    <row r="743" spans="1:13" x14ac:dyDescent="0.35">
      <c r="A743">
        <v>103384</v>
      </c>
      <c r="B743">
        <v>1535</v>
      </c>
      <c r="C743" t="s">
        <v>602</v>
      </c>
      <c r="D743" t="s">
        <v>1066</v>
      </c>
      <c r="E743" t="s">
        <v>1669</v>
      </c>
      <c r="F743">
        <v>4167192</v>
      </c>
      <c r="G743">
        <v>222679</v>
      </c>
      <c r="H743" t="s">
        <v>964</v>
      </c>
      <c r="I743">
        <v>297</v>
      </c>
      <c r="J743">
        <v>302</v>
      </c>
      <c r="K743" t="s">
        <v>1068</v>
      </c>
      <c r="L743" t="s">
        <v>1581</v>
      </c>
      <c r="M743" t="s">
        <v>1670</v>
      </c>
    </row>
    <row r="744" spans="1:13" x14ac:dyDescent="0.35">
      <c r="A744">
        <v>0</v>
      </c>
      <c r="B744">
        <v>3025</v>
      </c>
      <c r="C744" t="s">
        <v>602</v>
      </c>
      <c r="D744" t="s">
        <v>1301</v>
      </c>
      <c r="E744" t="s">
        <v>1671</v>
      </c>
      <c r="F744">
        <v>7251</v>
      </c>
      <c r="I744">
        <v>297</v>
      </c>
      <c r="J744">
        <v>296</v>
      </c>
      <c r="M744" t="s">
        <v>1671</v>
      </c>
    </row>
    <row r="745" spans="1:13" x14ac:dyDescent="0.35">
      <c r="A745">
        <v>101067</v>
      </c>
      <c r="B745">
        <v>1338</v>
      </c>
      <c r="C745" t="s">
        <v>602</v>
      </c>
      <c r="D745" t="s">
        <v>1336</v>
      </c>
      <c r="E745" t="s">
        <v>1672</v>
      </c>
      <c r="F745">
        <v>126</v>
      </c>
      <c r="G745">
        <v>1363</v>
      </c>
      <c r="H745" t="s">
        <v>964</v>
      </c>
      <c r="I745">
        <v>297</v>
      </c>
      <c r="J745">
        <v>298</v>
      </c>
      <c r="L745" t="s">
        <v>965</v>
      </c>
      <c r="M745" t="s">
        <v>1673</v>
      </c>
    </row>
    <row r="746" spans="1:13" x14ac:dyDescent="0.35">
      <c r="A746">
        <v>101780</v>
      </c>
      <c r="B746">
        <v>1348</v>
      </c>
      <c r="C746" t="s">
        <v>602</v>
      </c>
      <c r="D746" t="s">
        <v>1336</v>
      </c>
      <c r="E746" t="s">
        <v>1674</v>
      </c>
      <c r="F746">
        <v>125</v>
      </c>
      <c r="G746">
        <v>1327</v>
      </c>
      <c r="H746" t="s">
        <v>964</v>
      </c>
      <c r="I746">
        <v>296</v>
      </c>
      <c r="J746">
        <v>297</v>
      </c>
      <c r="L746" t="s">
        <v>965</v>
      </c>
      <c r="M746" t="s">
        <v>1675</v>
      </c>
    </row>
    <row r="747" spans="1:13" x14ac:dyDescent="0.35">
      <c r="A747">
        <v>103293</v>
      </c>
      <c r="B747">
        <v>1482</v>
      </c>
      <c r="C747" t="s">
        <v>602</v>
      </c>
      <c r="D747" t="s">
        <v>1066</v>
      </c>
      <c r="E747" t="s">
        <v>1676</v>
      </c>
      <c r="F747">
        <v>4167106</v>
      </c>
      <c r="G747">
        <v>222453</v>
      </c>
      <c r="H747" t="s">
        <v>964</v>
      </c>
      <c r="I747">
        <v>296</v>
      </c>
      <c r="J747">
        <v>301</v>
      </c>
      <c r="K747" t="s">
        <v>1068</v>
      </c>
      <c r="L747" t="s">
        <v>980</v>
      </c>
      <c r="M747" t="s">
        <v>1677</v>
      </c>
    </row>
    <row r="748" spans="1:13" x14ac:dyDescent="0.35">
      <c r="A748">
        <v>0</v>
      </c>
      <c r="B748">
        <v>3024</v>
      </c>
      <c r="C748" t="s">
        <v>602</v>
      </c>
      <c r="D748" t="s">
        <v>1301</v>
      </c>
      <c r="E748" t="s">
        <v>1678</v>
      </c>
      <c r="F748">
        <v>7250</v>
      </c>
      <c r="I748">
        <v>296</v>
      </c>
      <c r="J748">
        <v>295</v>
      </c>
      <c r="M748" t="s">
        <v>1678</v>
      </c>
    </row>
    <row r="749" spans="1:13" x14ac:dyDescent="0.35">
      <c r="A749">
        <v>101277</v>
      </c>
      <c r="B749">
        <v>1345</v>
      </c>
      <c r="C749" t="s">
        <v>602</v>
      </c>
      <c r="D749" t="s">
        <v>1336</v>
      </c>
      <c r="E749" t="s">
        <v>1679</v>
      </c>
      <c r="F749">
        <v>122</v>
      </c>
      <c r="G749">
        <v>20818</v>
      </c>
      <c r="H749" t="s">
        <v>964</v>
      </c>
      <c r="I749">
        <v>295</v>
      </c>
      <c r="J749">
        <v>296</v>
      </c>
      <c r="L749" t="s">
        <v>965</v>
      </c>
      <c r="M749" t="s">
        <v>1680</v>
      </c>
    </row>
    <row r="750" spans="1:13" x14ac:dyDescent="0.35">
      <c r="A750">
        <v>0</v>
      </c>
      <c r="B750">
        <v>3023</v>
      </c>
      <c r="C750" t="s">
        <v>602</v>
      </c>
      <c r="D750" t="s">
        <v>1301</v>
      </c>
      <c r="E750" t="s">
        <v>1681</v>
      </c>
      <c r="F750">
        <v>7249</v>
      </c>
      <c r="I750">
        <v>295</v>
      </c>
      <c r="J750">
        <v>294</v>
      </c>
      <c r="M750" t="s">
        <v>1681</v>
      </c>
    </row>
    <row r="751" spans="1:13" x14ac:dyDescent="0.35">
      <c r="A751">
        <v>103299</v>
      </c>
      <c r="B751">
        <v>1487</v>
      </c>
      <c r="C751" t="s">
        <v>602</v>
      </c>
      <c r="D751" t="s">
        <v>1066</v>
      </c>
      <c r="E751" t="s">
        <v>1682</v>
      </c>
      <c r="F751">
        <v>4167130</v>
      </c>
      <c r="G751">
        <v>222446</v>
      </c>
      <c r="H751" t="s">
        <v>964</v>
      </c>
      <c r="I751">
        <v>295</v>
      </c>
      <c r="J751">
        <v>300</v>
      </c>
      <c r="K751" t="s">
        <v>1068</v>
      </c>
      <c r="L751" t="s">
        <v>980</v>
      </c>
      <c r="M751" t="s">
        <v>1683</v>
      </c>
    </row>
    <row r="752" spans="1:13" x14ac:dyDescent="0.35">
      <c r="A752">
        <v>103300</v>
      </c>
      <c r="B752">
        <v>1488</v>
      </c>
      <c r="C752" t="s">
        <v>602</v>
      </c>
      <c r="D752" t="s">
        <v>1066</v>
      </c>
      <c r="E752" t="s">
        <v>1684</v>
      </c>
      <c r="F752">
        <v>4167141</v>
      </c>
      <c r="G752">
        <v>788</v>
      </c>
      <c r="H752" t="s">
        <v>964</v>
      </c>
      <c r="I752">
        <v>294</v>
      </c>
      <c r="J752">
        <v>299</v>
      </c>
      <c r="K752" t="s">
        <v>1068</v>
      </c>
      <c r="L752" t="s">
        <v>965</v>
      </c>
      <c r="M752" t="s">
        <v>1685</v>
      </c>
    </row>
    <row r="753" spans="1:13" x14ac:dyDescent="0.35">
      <c r="A753">
        <v>101065</v>
      </c>
      <c r="B753">
        <v>1336</v>
      </c>
      <c r="C753" t="s">
        <v>602</v>
      </c>
      <c r="D753" t="s">
        <v>1336</v>
      </c>
      <c r="E753" t="s">
        <v>1686</v>
      </c>
      <c r="F753">
        <v>121</v>
      </c>
      <c r="G753">
        <v>218994</v>
      </c>
      <c r="H753" t="s">
        <v>964</v>
      </c>
      <c r="I753">
        <v>294</v>
      </c>
      <c r="J753">
        <v>295</v>
      </c>
      <c r="L753" t="s">
        <v>965</v>
      </c>
      <c r="M753" t="s">
        <v>1687</v>
      </c>
    </row>
    <row r="754" spans="1:13" x14ac:dyDescent="0.35">
      <c r="A754">
        <v>0</v>
      </c>
      <c r="B754">
        <v>3022</v>
      </c>
      <c r="C754" t="s">
        <v>602</v>
      </c>
      <c r="D754" t="s">
        <v>1301</v>
      </c>
      <c r="E754" t="s">
        <v>1688</v>
      </c>
      <c r="F754">
        <v>7248</v>
      </c>
      <c r="I754">
        <v>294</v>
      </c>
      <c r="J754">
        <v>293</v>
      </c>
      <c r="M754" t="s">
        <v>1688</v>
      </c>
    </row>
    <row r="755" spans="1:13" x14ac:dyDescent="0.35">
      <c r="A755">
        <v>0</v>
      </c>
      <c r="B755">
        <v>3021</v>
      </c>
      <c r="C755" t="s">
        <v>602</v>
      </c>
      <c r="D755" t="s">
        <v>1301</v>
      </c>
      <c r="E755" t="s">
        <v>1689</v>
      </c>
      <c r="F755">
        <v>7247</v>
      </c>
      <c r="I755">
        <v>293</v>
      </c>
      <c r="J755">
        <v>292</v>
      </c>
      <c r="M755" t="s">
        <v>1689</v>
      </c>
    </row>
    <row r="756" spans="1:13" x14ac:dyDescent="0.35">
      <c r="A756">
        <v>103416</v>
      </c>
      <c r="B756">
        <v>1562</v>
      </c>
      <c r="C756" t="s">
        <v>602</v>
      </c>
      <c r="D756" t="s">
        <v>1066</v>
      </c>
      <c r="E756" t="s">
        <v>1690</v>
      </c>
      <c r="F756">
        <v>4167157</v>
      </c>
      <c r="G756">
        <v>222718</v>
      </c>
      <c r="H756" t="s">
        <v>964</v>
      </c>
      <c r="I756">
        <v>293</v>
      </c>
      <c r="J756">
        <v>298</v>
      </c>
      <c r="K756" t="s">
        <v>1068</v>
      </c>
      <c r="L756" t="s">
        <v>980</v>
      </c>
      <c r="M756" t="s">
        <v>1691</v>
      </c>
    </row>
    <row r="757" spans="1:13" x14ac:dyDescent="0.35">
      <c r="A757">
        <v>101794</v>
      </c>
      <c r="B757">
        <v>1350</v>
      </c>
      <c r="C757" t="s">
        <v>602</v>
      </c>
      <c r="D757" t="s">
        <v>1336</v>
      </c>
      <c r="E757" t="s">
        <v>1692</v>
      </c>
      <c r="F757">
        <v>120</v>
      </c>
      <c r="G757">
        <v>2144</v>
      </c>
      <c r="H757" t="s">
        <v>964</v>
      </c>
      <c r="I757">
        <v>293</v>
      </c>
      <c r="J757">
        <v>294</v>
      </c>
      <c r="L757" t="s">
        <v>965</v>
      </c>
      <c r="M757" t="s">
        <v>1693</v>
      </c>
    </row>
    <row r="758" spans="1:13" x14ac:dyDescent="0.35">
      <c r="A758">
        <v>101565</v>
      </c>
      <c r="B758">
        <v>1158</v>
      </c>
      <c r="C758" t="s">
        <v>597</v>
      </c>
      <c r="D758" t="s">
        <v>962</v>
      </c>
      <c r="E758" t="s">
        <v>1694</v>
      </c>
      <c r="F758">
        <v>4292</v>
      </c>
      <c r="G758">
        <v>222177</v>
      </c>
      <c r="H758" t="s">
        <v>964</v>
      </c>
      <c r="I758">
        <v>292</v>
      </c>
      <c r="J758">
        <v>276</v>
      </c>
      <c r="K758" t="s">
        <v>979</v>
      </c>
      <c r="L758" t="s">
        <v>965</v>
      </c>
      <c r="M758" t="s">
        <v>1695</v>
      </c>
    </row>
    <row r="759" spans="1:13" x14ac:dyDescent="0.35">
      <c r="A759">
        <v>101068</v>
      </c>
      <c r="B759">
        <v>1339</v>
      </c>
      <c r="C759" t="s">
        <v>602</v>
      </c>
      <c r="D759" t="s">
        <v>1336</v>
      </c>
      <c r="E759" t="s">
        <v>1696</v>
      </c>
      <c r="F759">
        <v>119</v>
      </c>
      <c r="G759">
        <v>21382</v>
      </c>
      <c r="H759" t="s">
        <v>964</v>
      </c>
      <c r="I759">
        <v>292</v>
      </c>
      <c r="J759">
        <v>293</v>
      </c>
      <c r="L759" t="s">
        <v>965</v>
      </c>
      <c r="M759" t="s">
        <v>1697</v>
      </c>
    </row>
    <row r="760" spans="1:13" x14ac:dyDescent="0.35">
      <c r="A760">
        <v>103243</v>
      </c>
      <c r="B760">
        <v>1451</v>
      </c>
      <c r="C760" t="s">
        <v>602</v>
      </c>
      <c r="D760" t="s">
        <v>1066</v>
      </c>
      <c r="E760" t="s">
        <v>1698</v>
      </c>
      <c r="F760">
        <v>4167136</v>
      </c>
      <c r="G760">
        <v>222335</v>
      </c>
      <c r="H760" t="s">
        <v>964</v>
      </c>
      <c r="I760">
        <v>292</v>
      </c>
      <c r="J760">
        <v>297</v>
      </c>
      <c r="K760" t="s">
        <v>1068</v>
      </c>
      <c r="L760" t="s">
        <v>965</v>
      </c>
      <c r="M760" t="s">
        <v>1699</v>
      </c>
    </row>
    <row r="761" spans="1:13" x14ac:dyDescent="0.35">
      <c r="A761">
        <v>0</v>
      </c>
      <c r="B761">
        <v>3020</v>
      </c>
      <c r="C761" t="s">
        <v>602</v>
      </c>
      <c r="D761" t="s">
        <v>1301</v>
      </c>
      <c r="E761" t="s">
        <v>1700</v>
      </c>
      <c r="F761">
        <v>7246</v>
      </c>
      <c r="I761">
        <v>292</v>
      </c>
      <c r="J761">
        <v>291</v>
      </c>
      <c r="M761" t="s">
        <v>1700</v>
      </c>
    </row>
    <row r="762" spans="1:13" x14ac:dyDescent="0.35">
      <c r="A762">
        <v>0</v>
      </c>
      <c r="B762">
        <v>3019</v>
      </c>
      <c r="C762" t="s">
        <v>602</v>
      </c>
      <c r="D762" t="s">
        <v>1301</v>
      </c>
      <c r="E762" t="s">
        <v>1701</v>
      </c>
      <c r="F762">
        <v>7245</v>
      </c>
      <c r="I762">
        <v>291</v>
      </c>
      <c r="J762">
        <v>290</v>
      </c>
      <c r="M762" t="s">
        <v>1701</v>
      </c>
    </row>
    <row r="763" spans="1:13" x14ac:dyDescent="0.35">
      <c r="A763">
        <v>103534</v>
      </c>
      <c r="B763">
        <v>1623</v>
      </c>
      <c r="C763" t="s">
        <v>602</v>
      </c>
      <c r="D763" t="s">
        <v>1066</v>
      </c>
      <c r="E763" t="s">
        <v>1702</v>
      </c>
      <c r="F763">
        <v>4167134</v>
      </c>
      <c r="G763">
        <v>222909</v>
      </c>
      <c r="H763" t="s">
        <v>964</v>
      </c>
      <c r="I763">
        <v>291</v>
      </c>
      <c r="J763">
        <v>296</v>
      </c>
      <c r="K763" t="s">
        <v>1068</v>
      </c>
      <c r="L763" t="s">
        <v>980</v>
      </c>
      <c r="M763" t="s">
        <v>1703</v>
      </c>
    </row>
    <row r="764" spans="1:13" x14ac:dyDescent="0.35">
      <c r="A764">
        <v>101501</v>
      </c>
      <c r="B764">
        <v>1099</v>
      </c>
      <c r="C764" t="s">
        <v>602</v>
      </c>
      <c r="D764" t="s">
        <v>962</v>
      </c>
      <c r="E764" t="s">
        <v>1704</v>
      </c>
      <c r="F764">
        <v>3712</v>
      </c>
      <c r="G764">
        <v>221518</v>
      </c>
      <c r="H764" t="s">
        <v>964</v>
      </c>
      <c r="I764">
        <v>291</v>
      </c>
      <c r="J764">
        <v>275</v>
      </c>
      <c r="K764" t="s">
        <v>1021</v>
      </c>
      <c r="L764" t="s">
        <v>965</v>
      </c>
      <c r="M764" t="s">
        <v>1705</v>
      </c>
    </row>
    <row r="765" spans="1:13" x14ac:dyDescent="0.35">
      <c r="A765">
        <v>103653</v>
      </c>
      <c r="B765">
        <v>1880</v>
      </c>
      <c r="C765" t="s">
        <v>602</v>
      </c>
      <c r="D765" t="s">
        <v>1336</v>
      </c>
      <c r="E765" t="s">
        <v>1706</v>
      </c>
      <c r="F765">
        <v>117</v>
      </c>
      <c r="G765">
        <v>1406</v>
      </c>
      <c r="H765" t="s">
        <v>964</v>
      </c>
      <c r="I765">
        <v>291</v>
      </c>
      <c r="J765">
        <v>292</v>
      </c>
      <c r="L765" t="s">
        <v>965</v>
      </c>
      <c r="M765" t="s">
        <v>1707</v>
      </c>
    </row>
    <row r="766" spans="1:13" x14ac:dyDescent="0.35">
      <c r="A766">
        <v>104227</v>
      </c>
      <c r="B766">
        <v>1892</v>
      </c>
      <c r="C766" t="s">
        <v>602</v>
      </c>
      <c r="D766" t="s">
        <v>1336</v>
      </c>
      <c r="E766" t="s">
        <v>1708</v>
      </c>
      <c r="F766">
        <v>11</v>
      </c>
      <c r="G766">
        <v>227264</v>
      </c>
      <c r="H766" t="s">
        <v>964</v>
      </c>
      <c r="I766">
        <v>290</v>
      </c>
      <c r="J766">
        <v>291</v>
      </c>
      <c r="L766" t="s">
        <v>965</v>
      </c>
      <c r="M766" t="s">
        <v>1709</v>
      </c>
    </row>
    <row r="767" spans="1:13" x14ac:dyDescent="0.35">
      <c r="A767">
        <v>104187</v>
      </c>
      <c r="B767">
        <v>1688</v>
      </c>
      <c r="C767" t="s">
        <v>602</v>
      </c>
      <c r="D767" t="s">
        <v>1066</v>
      </c>
      <c r="E767" t="s">
        <v>1710</v>
      </c>
      <c r="F767">
        <v>4167316</v>
      </c>
      <c r="G767">
        <v>222696</v>
      </c>
      <c r="H767" t="s">
        <v>964</v>
      </c>
      <c r="I767">
        <v>290</v>
      </c>
      <c r="J767">
        <v>295</v>
      </c>
      <c r="K767" t="s">
        <v>1068</v>
      </c>
      <c r="L767" t="s">
        <v>980</v>
      </c>
      <c r="M767" t="s">
        <v>1711</v>
      </c>
    </row>
    <row r="768" spans="1:13" x14ac:dyDescent="0.35">
      <c r="A768">
        <v>0</v>
      </c>
      <c r="B768">
        <v>3018</v>
      </c>
      <c r="C768" t="s">
        <v>602</v>
      </c>
      <c r="D768" t="s">
        <v>1301</v>
      </c>
      <c r="E768" t="s">
        <v>1712</v>
      </c>
      <c r="F768">
        <v>7244</v>
      </c>
      <c r="I768">
        <v>290</v>
      </c>
      <c r="J768">
        <v>289</v>
      </c>
      <c r="M768" t="s">
        <v>1712</v>
      </c>
    </row>
    <row r="769" spans="1:13" x14ac:dyDescent="0.35">
      <c r="A769">
        <v>0</v>
      </c>
      <c r="B769">
        <v>3017</v>
      </c>
      <c r="C769" t="s">
        <v>602</v>
      </c>
      <c r="D769" t="s">
        <v>1301</v>
      </c>
      <c r="E769" t="s">
        <v>1713</v>
      </c>
      <c r="F769">
        <v>7243</v>
      </c>
      <c r="I769">
        <v>289</v>
      </c>
      <c r="J769">
        <v>288</v>
      </c>
      <c r="M769" t="s">
        <v>1713</v>
      </c>
    </row>
    <row r="770" spans="1:13" x14ac:dyDescent="0.35">
      <c r="A770">
        <v>103465</v>
      </c>
      <c r="B770">
        <v>1600</v>
      </c>
      <c r="C770" t="s">
        <v>602</v>
      </c>
      <c r="D770" t="s">
        <v>1066</v>
      </c>
      <c r="E770" t="s">
        <v>1714</v>
      </c>
      <c r="F770">
        <v>4167185</v>
      </c>
      <c r="G770">
        <v>222780</v>
      </c>
      <c r="H770" t="s">
        <v>964</v>
      </c>
      <c r="I770">
        <v>289</v>
      </c>
      <c r="J770">
        <v>294</v>
      </c>
      <c r="K770" t="s">
        <v>1068</v>
      </c>
      <c r="L770" t="s">
        <v>980</v>
      </c>
      <c r="M770" t="s">
        <v>1715</v>
      </c>
    </row>
    <row r="771" spans="1:13" x14ac:dyDescent="0.35">
      <c r="A771">
        <v>104228</v>
      </c>
      <c r="B771">
        <v>1893</v>
      </c>
      <c r="C771" t="s">
        <v>602</v>
      </c>
      <c r="D771" t="s">
        <v>1336</v>
      </c>
      <c r="E771" t="s">
        <v>1716</v>
      </c>
      <c r="F771">
        <v>10</v>
      </c>
      <c r="G771">
        <v>227265</v>
      </c>
      <c r="H771" t="s">
        <v>964</v>
      </c>
      <c r="I771">
        <v>289</v>
      </c>
      <c r="J771">
        <v>290</v>
      </c>
      <c r="L771" t="s">
        <v>965</v>
      </c>
      <c r="M771" t="s">
        <v>1717</v>
      </c>
    </row>
    <row r="772" spans="1:13" x14ac:dyDescent="0.35">
      <c r="A772">
        <v>104197</v>
      </c>
      <c r="B772">
        <v>1689</v>
      </c>
      <c r="C772" t="s">
        <v>602</v>
      </c>
      <c r="D772" t="s">
        <v>1066</v>
      </c>
      <c r="E772" t="s">
        <v>1718</v>
      </c>
      <c r="F772">
        <v>4167320</v>
      </c>
      <c r="G772">
        <v>226995</v>
      </c>
      <c r="H772" t="s">
        <v>964</v>
      </c>
      <c r="I772">
        <v>288</v>
      </c>
      <c r="J772">
        <v>293</v>
      </c>
      <c r="K772" t="s">
        <v>1068</v>
      </c>
      <c r="L772" t="s">
        <v>980</v>
      </c>
      <c r="M772" t="s">
        <v>1719</v>
      </c>
    </row>
    <row r="773" spans="1:13" x14ac:dyDescent="0.35">
      <c r="A773">
        <v>102318</v>
      </c>
      <c r="B773">
        <v>1858</v>
      </c>
      <c r="C773" t="s">
        <v>602</v>
      </c>
      <c r="D773" t="s">
        <v>1336</v>
      </c>
      <c r="E773" t="s">
        <v>1720</v>
      </c>
      <c r="F773">
        <v>131</v>
      </c>
      <c r="G773">
        <v>21917</v>
      </c>
      <c r="H773" t="s">
        <v>964</v>
      </c>
      <c r="I773">
        <v>288</v>
      </c>
      <c r="J773">
        <v>289</v>
      </c>
      <c r="L773" t="s">
        <v>965</v>
      </c>
      <c r="M773" t="s">
        <v>1721</v>
      </c>
    </row>
    <row r="774" spans="1:13" x14ac:dyDescent="0.35">
      <c r="A774">
        <v>0</v>
      </c>
      <c r="B774">
        <v>3016</v>
      </c>
      <c r="C774" t="s">
        <v>602</v>
      </c>
      <c r="D774" t="s">
        <v>1301</v>
      </c>
      <c r="E774" t="s">
        <v>1722</v>
      </c>
      <c r="F774">
        <v>7242</v>
      </c>
      <c r="I774">
        <v>288</v>
      </c>
      <c r="J774">
        <v>287</v>
      </c>
      <c r="M774" t="s">
        <v>1722</v>
      </c>
    </row>
    <row r="775" spans="1:13" x14ac:dyDescent="0.35">
      <c r="A775">
        <v>104206</v>
      </c>
      <c r="B775">
        <v>1891</v>
      </c>
      <c r="C775" t="s">
        <v>602</v>
      </c>
      <c r="D775" t="s">
        <v>1336</v>
      </c>
      <c r="E775" t="s">
        <v>1723</v>
      </c>
      <c r="F775">
        <v>629</v>
      </c>
      <c r="G775">
        <v>227069</v>
      </c>
      <c r="H775" t="s">
        <v>964</v>
      </c>
      <c r="I775">
        <v>287</v>
      </c>
      <c r="J775">
        <v>288</v>
      </c>
      <c r="L775" t="s">
        <v>965</v>
      </c>
      <c r="M775" t="s">
        <v>1724</v>
      </c>
    </row>
    <row r="776" spans="1:13" x14ac:dyDescent="0.35">
      <c r="A776">
        <v>0</v>
      </c>
      <c r="B776">
        <v>3015</v>
      </c>
      <c r="C776" t="s">
        <v>602</v>
      </c>
      <c r="D776" t="s">
        <v>1301</v>
      </c>
      <c r="E776" t="s">
        <v>1725</v>
      </c>
      <c r="F776">
        <v>7241</v>
      </c>
      <c r="I776">
        <v>287</v>
      </c>
      <c r="J776">
        <v>286</v>
      </c>
      <c r="M776" t="s">
        <v>1725</v>
      </c>
    </row>
    <row r="777" spans="1:13" x14ac:dyDescent="0.35">
      <c r="A777">
        <v>103306</v>
      </c>
      <c r="B777">
        <v>1494</v>
      </c>
      <c r="C777" t="s">
        <v>602</v>
      </c>
      <c r="D777" t="s">
        <v>1066</v>
      </c>
      <c r="E777" t="s">
        <v>1726</v>
      </c>
      <c r="F777">
        <v>4167162</v>
      </c>
      <c r="G777">
        <v>222444</v>
      </c>
      <c r="H777" t="s">
        <v>964</v>
      </c>
      <c r="I777">
        <v>287</v>
      </c>
      <c r="J777">
        <v>292</v>
      </c>
      <c r="K777" t="s">
        <v>1068</v>
      </c>
      <c r="L777" t="s">
        <v>965</v>
      </c>
      <c r="M777" t="s">
        <v>1727</v>
      </c>
    </row>
    <row r="778" spans="1:13" x14ac:dyDescent="0.35">
      <c r="A778">
        <v>102460</v>
      </c>
      <c r="B778">
        <v>1862</v>
      </c>
      <c r="C778" t="s">
        <v>602</v>
      </c>
      <c r="D778" t="s">
        <v>1336</v>
      </c>
      <c r="E778" t="s">
        <v>1728</v>
      </c>
      <c r="F778">
        <v>416</v>
      </c>
      <c r="G778">
        <v>220920</v>
      </c>
      <c r="H778" t="s">
        <v>964</v>
      </c>
      <c r="I778">
        <v>286</v>
      </c>
      <c r="J778">
        <v>287</v>
      </c>
      <c r="L778" t="s">
        <v>965</v>
      </c>
      <c r="M778" t="s">
        <v>1729</v>
      </c>
    </row>
    <row r="779" spans="1:13" x14ac:dyDescent="0.35">
      <c r="A779">
        <v>103359</v>
      </c>
      <c r="B779">
        <v>1520</v>
      </c>
      <c r="C779" t="s">
        <v>602</v>
      </c>
      <c r="D779" t="s">
        <v>1066</v>
      </c>
      <c r="E779" t="s">
        <v>1730</v>
      </c>
      <c r="F779">
        <v>4167105</v>
      </c>
      <c r="G779">
        <v>222622</v>
      </c>
      <c r="H779" t="s">
        <v>964</v>
      </c>
      <c r="I779">
        <v>286</v>
      </c>
      <c r="J779">
        <v>291</v>
      </c>
      <c r="K779" t="s">
        <v>1068</v>
      </c>
      <c r="L779" t="s">
        <v>980</v>
      </c>
      <c r="M779" t="s">
        <v>1731</v>
      </c>
    </row>
    <row r="780" spans="1:13" x14ac:dyDescent="0.35">
      <c r="A780">
        <v>0</v>
      </c>
      <c r="B780">
        <v>3014</v>
      </c>
      <c r="C780" t="s">
        <v>602</v>
      </c>
      <c r="D780" t="s">
        <v>1301</v>
      </c>
      <c r="E780" t="s">
        <v>1732</v>
      </c>
      <c r="F780">
        <v>7240</v>
      </c>
      <c r="I780">
        <v>286</v>
      </c>
      <c r="J780">
        <v>285</v>
      </c>
      <c r="M780" t="s">
        <v>1732</v>
      </c>
    </row>
    <row r="781" spans="1:13" x14ac:dyDescent="0.35">
      <c r="A781">
        <v>101480</v>
      </c>
      <c r="B781">
        <v>1080</v>
      </c>
      <c r="C781" t="s">
        <v>602</v>
      </c>
      <c r="D781" t="s">
        <v>962</v>
      </c>
      <c r="E781" t="s">
        <v>1733</v>
      </c>
      <c r="F781">
        <v>3575</v>
      </c>
      <c r="G781">
        <v>221260</v>
      </c>
      <c r="H781" t="s">
        <v>964</v>
      </c>
      <c r="I781">
        <v>285</v>
      </c>
      <c r="J781">
        <v>273</v>
      </c>
      <c r="K781" t="s">
        <v>1051</v>
      </c>
      <c r="L781" t="s">
        <v>965</v>
      </c>
      <c r="M781" t="s">
        <v>1734</v>
      </c>
    </row>
    <row r="782" spans="1:13" x14ac:dyDescent="0.35">
      <c r="A782">
        <v>104170</v>
      </c>
      <c r="B782">
        <v>1687</v>
      </c>
      <c r="C782" t="s">
        <v>602</v>
      </c>
      <c r="D782" t="s">
        <v>1066</v>
      </c>
      <c r="E782" t="s">
        <v>1735</v>
      </c>
      <c r="F782">
        <v>4167312</v>
      </c>
      <c r="G782">
        <v>226881</v>
      </c>
      <c r="H782" t="s">
        <v>964</v>
      </c>
      <c r="I782">
        <v>285</v>
      </c>
      <c r="J782">
        <v>290</v>
      </c>
      <c r="K782" t="s">
        <v>1068</v>
      </c>
      <c r="L782" t="s">
        <v>965</v>
      </c>
      <c r="M782" t="s">
        <v>1736</v>
      </c>
    </row>
    <row r="783" spans="1:13" x14ac:dyDescent="0.35">
      <c r="A783">
        <v>0</v>
      </c>
      <c r="B783">
        <v>3013</v>
      </c>
      <c r="C783" t="s">
        <v>602</v>
      </c>
      <c r="D783" t="s">
        <v>1301</v>
      </c>
      <c r="E783" t="s">
        <v>1737</v>
      </c>
      <c r="F783">
        <v>7239</v>
      </c>
      <c r="I783">
        <v>285</v>
      </c>
      <c r="J783">
        <v>284</v>
      </c>
      <c r="M783" t="s">
        <v>1737</v>
      </c>
    </row>
    <row r="784" spans="1:13" x14ac:dyDescent="0.35">
      <c r="A784">
        <v>101064</v>
      </c>
      <c r="B784">
        <v>1335</v>
      </c>
      <c r="C784" t="s">
        <v>602</v>
      </c>
      <c r="D784" t="s">
        <v>1336</v>
      </c>
      <c r="E784" t="s">
        <v>1738</v>
      </c>
      <c r="F784">
        <v>138</v>
      </c>
      <c r="G784">
        <v>218995</v>
      </c>
      <c r="H784" t="s">
        <v>964</v>
      </c>
      <c r="I784">
        <v>285</v>
      </c>
      <c r="J784">
        <v>286</v>
      </c>
      <c r="L784" t="s">
        <v>965</v>
      </c>
      <c r="M784" t="s">
        <v>1739</v>
      </c>
    </row>
    <row r="785" spans="1:13" x14ac:dyDescent="0.35">
      <c r="A785">
        <v>103343</v>
      </c>
      <c r="B785">
        <v>1512</v>
      </c>
      <c r="C785" t="s">
        <v>602</v>
      </c>
      <c r="D785" t="s">
        <v>1066</v>
      </c>
      <c r="E785" t="s">
        <v>1740</v>
      </c>
      <c r="F785">
        <v>4167182</v>
      </c>
      <c r="G785">
        <v>222580</v>
      </c>
      <c r="H785" t="s">
        <v>964</v>
      </c>
      <c r="I785">
        <v>284</v>
      </c>
      <c r="J785">
        <v>289</v>
      </c>
      <c r="K785" t="s">
        <v>1068</v>
      </c>
      <c r="L785" t="s">
        <v>980</v>
      </c>
      <c r="M785" t="s">
        <v>1741</v>
      </c>
    </row>
    <row r="786" spans="1:13" x14ac:dyDescent="0.35">
      <c r="A786">
        <v>104322</v>
      </c>
      <c r="B786">
        <v>1297</v>
      </c>
      <c r="C786" t="s">
        <v>602</v>
      </c>
      <c r="D786" t="s">
        <v>962</v>
      </c>
      <c r="E786" t="s">
        <v>1742</v>
      </c>
      <c r="F786">
        <v>5791</v>
      </c>
      <c r="G786">
        <v>228219</v>
      </c>
      <c r="H786" t="s">
        <v>964</v>
      </c>
      <c r="I786">
        <v>284</v>
      </c>
      <c r="J786">
        <v>272</v>
      </c>
      <c r="K786" t="s">
        <v>979</v>
      </c>
      <c r="L786" t="s">
        <v>1581</v>
      </c>
      <c r="M786" t="s">
        <v>1743</v>
      </c>
    </row>
    <row r="787" spans="1:13" x14ac:dyDescent="0.35">
      <c r="A787">
        <v>104418</v>
      </c>
      <c r="B787">
        <v>3510</v>
      </c>
      <c r="C787" t="s">
        <v>602</v>
      </c>
      <c r="D787" t="s">
        <v>1744</v>
      </c>
      <c r="E787" t="s">
        <v>421</v>
      </c>
      <c r="G787">
        <v>229560</v>
      </c>
      <c r="H787" t="s">
        <v>964</v>
      </c>
      <c r="I787">
        <v>284</v>
      </c>
      <c r="J787">
        <v>285</v>
      </c>
      <c r="L787" t="s">
        <v>1581</v>
      </c>
      <c r="M787" t="s">
        <v>1745</v>
      </c>
    </row>
    <row r="788" spans="1:13" x14ac:dyDescent="0.35">
      <c r="A788">
        <v>0</v>
      </c>
      <c r="B788">
        <v>3012</v>
      </c>
      <c r="C788" t="s">
        <v>602</v>
      </c>
      <c r="D788" t="s">
        <v>1301</v>
      </c>
      <c r="E788" t="s">
        <v>1746</v>
      </c>
      <c r="F788">
        <v>7238</v>
      </c>
      <c r="I788">
        <v>284</v>
      </c>
      <c r="J788">
        <v>283</v>
      </c>
      <c r="M788" t="s">
        <v>1746</v>
      </c>
    </row>
    <row r="789" spans="1:13" x14ac:dyDescent="0.35">
      <c r="A789">
        <v>0</v>
      </c>
      <c r="B789">
        <v>3509</v>
      </c>
      <c r="C789" t="s">
        <v>602</v>
      </c>
      <c r="D789" t="s">
        <v>1744</v>
      </c>
      <c r="E789" t="s">
        <v>1747</v>
      </c>
      <c r="G789">
        <v>0</v>
      </c>
      <c r="H789" t="s">
        <v>964</v>
      </c>
      <c r="I789">
        <v>283</v>
      </c>
      <c r="J789">
        <v>284</v>
      </c>
      <c r="L789" t="s">
        <v>1581</v>
      </c>
      <c r="M789" t="s">
        <v>1747</v>
      </c>
    </row>
    <row r="790" spans="1:13" x14ac:dyDescent="0.35">
      <c r="A790">
        <v>0</v>
      </c>
      <c r="B790">
        <v>3011</v>
      </c>
      <c r="C790" t="s">
        <v>602</v>
      </c>
      <c r="D790" t="s">
        <v>1301</v>
      </c>
      <c r="E790" t="s">
        <v>1748</v>
      </c>
      <c r="F790">
        <v>7237</v>
      </c>
      <c r="I790">
        <v>283</v>
      </c>
      <c r="J790">
        <v>282</v>
      </c>
      <c r="M790" t="s">
        <v>1748</v>
      </c>
    </row>
    <row r="791" spans="1:13" x14ac:dyDescent="0.35">
      <c r="A791">
        <v>103240</v>
      </c>
      <c r="B791">
        <v>1448</v>
      </c>
      <c r="C791" t="s">
        <v>602</v>
      </c>
      <c r="D791" t="s">
        <v>1066</v>
      </c>
      <c r="E791" t="s">
        <v>1749</v>
      </c>
      <c r="F791">
        <v>4167113</v>
      </c>
      <c r="G791">
        <v>222331</v>
      </c>
      <c r="H791" t="s">
        <v>964</v>
      </c>
      <c r="I791">
        <v>283</v>
      </c>
      <c r="J791">
        <v>288</v>
      </c>
      <c r="K791" t="s">
        <v>1068</v>
      </c>
      <c r="L791" t="s">
        <v>965</v>
      </c>
      <c r="M791" t="s">
        <v>1750</v>
      </c>
    </row>
    <row r="792" spans="1:13" x14ac:dyDescent="0.35">
      <c r="A792">
        <v>104330</v>
      </c>
      <c r="B792">
        <v>1298</v>
      </c>
      <c r="C792" t="s">
        <v>602</v>
      </c>
      <c r="D792" t="s">
        <v>962</v>
      </c>
      <c r="E792" t="s">
        <v>1751</v>
      </c>
      <c r="F792">
        <v>5728</v>
      </c>
      <c r="G792">
        <v>228403</v>
      </c>
      <c r="H792" t="s">
        <v>964</v>
      </c>
      <c r="I792">
        <v>283</v>
      </c>
      <c r="J792">
        <v>271</v>
      </c>
      <c r="K792" t="s">
        <v>979</v>
      </c>
      <c r="L792" t="s">
        <v>965</v>
      </c>
      <c r="M792" t="s">
        <v>1752</v>
      </c>
    </row>
    <row r="793" spans="1:13" x14ac:dyDescent="0.35">
      <c r="A793">
        <v>104331</v>
      </c>
      <c r="B793">
        <v>1299</v>
      </c>
      <c r="C793" t="s">
        <v>602</v>
      </c>
      <c r="D793" t="s">
        <v>962</v>
      </c>
      <c r="E793" t="s">
        <v>1753</v>
      </c>
      <c r="F793">
        <v>5444</v>
      </c>
      <c r="G793">
        <v>228405</v>
      </c>
      <c r="H793" t="s">
        <v>964</v>
      </c>
      <c r="I793">
        <v>282</v>
      </c>
      <c r="J793">
        <v>270</v>
      </c>
      <c r="K793" t="s">
        <v>979</v>
      </c>
      <c r="L793" t="s">
        <v>965</v>
      </c>
      <c r="M793" t="s">
        <v>1754</v>
      </c>
    </row>
    <row r="794" spans="1:13" x14ac:dyDescent="0.35">
      <c r="A794">
        <v>102319</v>
      </c>
      <c r="B794">
        <v>1859</v>
      </c>
      <c r="C794" t="s">
        <v>602</v>
      </c>
      <c r="D794" t="s">
        <v>1336</v>
      </c>
      <c r="E794" t="s">
        <v>1755</v>
      </c>
      <c r="F794">
        <v>133</v>
      </c>
      <c r="G794">
        <v>220283</v>
      </c>
      <c r="H794" t="s">
        <v>964</v>
      </c>
      <c r="I794">
        <v>282</v>
      </c>
      <c r="J794">
        <v>283</v>
      </c>
      <c r="L794" t="s">
        <v>965</v>
      </c>
      <c r="M794" t="s">
        <v>1756</v>
      </c>
    </row>
    <row r="795" spans="1:13" x14ac:dyDescent="0.35">
      <c r="A795">
        <v>0</v>
      </c>
      <c r="B795">
        <v>3010</v>
      </c>
      <c r="C795" t="s">
        <v>602</v>
      </c>
      <c r="D795" t="s">
        <v>1301</v>
      </c>
      <c r="E795" t="s">
        <v>1757</v>
      </c>
      <c r="F795">
        <v>7236</v>
      </c>
      <c r="I795">
        <v>282</v>
      </c>
      <c r="J795">
        <v>281</v>
      </c>
      <c r="M795" t="s">
        <v>1757</v>
      </c>
    </row>
    <row r="796" spans="1:13" x14ac:dyDescent="0.35">
      <c r="A796">
        <v>102140</v>
      </c>
      <c r="B796">
        <v>1427</v>
      </c>
      <c r="C796" t="s">
        <v>602</v>
      </c>
      <c r="D796" t="s">
        <v>1066</v>
      </c>
      <c r="E796" t="s">
        <v>1758</v>
      </c>
      <c r="F796">
        <v>4167149</v>
      </c>
      <c r="G796">
        <v>220901</v>
      </c>
      <c r="H796" t="s">
        <v>964</v>
      </c>
      <c r="I796">
        <v>282</v>
      </c>
      <c r="J796">
        <v>287</v>
      </c>
      <c r="K796" t="s">
        <v>1068</v>
      </c>
      <c r="L796" t="s">
        <v>980</v>
      </c>
      <c r="M796" t="s">
        <v>1759</v>
      </c>
    </row>
    <row r="797" spans="1:13" x14ac:dyDescent="0.35">
      <c r="A797">
        <v>0</v>
      </c>
      <c r="B797">
        <v>3506</v>
      </c>
      <c r="C797" t="s">
        <v>602</v>
      </c>
      <c r="D797" t="s">
        <v>1243</v>
      </c>
      <c r="E797" t="s">
        <v>1760</v>
      </c>
      <c r="G797">
        <v>0</v>
      </c>
      <c r="I797">
        <v>281</v>
      </c>
      <c r="J797">
        <v>282</v>
      </c>
      <c r="K797" t="s">
        <v>1761</v>
      </c>
    </row>
    <row r="798" spans="1:13" x14ac:dyDescent="0.35">
      <c r="A798">
        <v>103237</v>
      </c>
      <c r="B798">
        <v>1445</v>
      </c>
      <c r="C798" t="s">
        <v>602</v>
      </c>
      <c r="D798" t="s">
        <v>1066</v>
      </c>
      <c r="E798" t="s">
        <v>1762</v>
      </c>
      <c r="F798">
        <v>4167118</v>
      </c>
      <c r="G798">
        <v>222327</v>
      </c>
      <c r="H798" t="s">
        <v>964</v>
      </c>
      <c r="I798">
        <v>281</v>
      </c>
      <c r="J798">
        <v>286</v>
      </c>
      <c r="K798" t="s">
        <v>1068</v>
      </c>
      <c r="L798" t="s">
        <v>965</v>
      </c>
      <c r="M798" t="s">
        <v>1763</v>
      </c>
    </row>
    <row r="799" spans="1:13" x14ac:dyDescent="0.35">
      <c r="A799">
        <v>0</v>
      </c>
      <c r="B799">
        <v>3009</v>
      </c>
      <c r="C799" t="s">
        <v>602</v>
      </c>
      <c r="D799" t="s">
        <v>1301</v>
      </c>
      <c r="E799" t="s">
        <v>1764</v>
      </c>
      <c r="F799">
        <v>7235</v>
      </c>
      <c r="I799">
        <v>281</v>
      </c>
      <c r="J799">
        <v>280</v>
      </c>
      <c r="M799" t="s">
        <v>1764</v>
      </c>
    </row>
    <row r="800" spans="1:13" x14ac:dyDescent="0.35">
      <c r="A800">
        <v>101391</v>
      </c>
      <c r="B800">
        <v>1015</v>
      </c>
      <c r="C800" t="s">
        <v>597</v>
      </c>
      <c r="D800" t="s">
        <v>962</v>
      </c>
      <c r="E800" t="s">
        <v>1765</v>
      </c>
      <c r="F800">
        <v>5937</v>
      </c>
      <c r="G800">
        <v>219747</v>
      </c>
      <c r="H800" t="s">
        <v>964</v>
      </c>
      <c r="I800">
        <v>281</v>
      </c>
      <c r="J800">
        <v>269</v>
      </c>
    </row>
    <row r="801" spans="1:13" x14ac:dyDescent="0.35">
      <c r="A801">
        <v>103268</v>
      </c>
      <c r="B801">
        <v>1466</v>
      </c>
      <c r="C801" t="s">
        <v>602</v>
      </c>
      <c r="D801" t="s">
        <v>1066</v>
      </c>
      <c r="E801" t="s">
        <v>1766</v>
      </c>
      <c r="F801">
        <v>4167123</v>
      </c>
      <c r="G801">
        <v>222381</v>
      </c>
      <c r="H801" t="s">
        <v>964</v>
      </c>
      <c r="I801">
        <v>280</v>
      </c>
      <c r="J801">
        <v>285</v>
      </c>
      <c r="K801" t="s">
        <v>1068</v>
      </c>
      <c r="L801" t="s">
        <v>965</v>
      </c>
      <c r="M801" t="s">
        <v>1767</v>
      </c>
    </row>
    <row r="802" spans="1:13" x14ac:dyDescent="0.35">
      <c r="A802">
        <v>104317</v>
      </c>
      <c r="B802">
        <v>1295</v>
      </c>
      <c r="C802" t="s">
        <v>602</v>
      </c>
      <c r="D802" t="s">
        <v>962</v>
      </c>
      <c r="E802" t="s">
        <v>1768</v>
      </c>
      <c r="F802">
        <v>5519</v>
      </c>
      <c r="G802">
        <v>228128</v>
      </c>
      <c r="H802" t="s">
        <v>964</v>
      </c>
      <c r="I802">
        <v>280</v>
      </c>
      <c r="J802">
        <v>268</v>
      </c>
      <c r="K802" t="s">
        <v>979</v>
      </c>
      <c r="L802" t="s">
        <v>1581</v>
      </c>
      <c r="M802" t="s">
        <v>1769</v>
      </c>
    </row>
    <row r="803" spans="1:13" x14ac:dyDescent="0.35">
      <c r="A803">
        <v>0</v>
      </c>
      <c r="B803">
        <v>3008</v>
      </c>
      <c r="C803" t="s">
        <v>602</v>
      </c>
      <c r="D803" t="s">
        <v>1301</v>
      </c>
      <c r="E803" t="s">
        <v>1770</v>
      </c>
      <c r="F803">
        <v>7234</v>
      </c>
      <c r="I803">
        <v>280</v>
      </c>
      <c r="J803">
        <v>279</v>
      </c>
      <c r="M803" t="s">
        <v>1770</v>
      </c>
    </row>
    <row r="804" spans="1:13" x14ac:dyDescent="0.35">
      <c r="A804">
        <v>101332</v>
      </c>
      <c r="B804">
        <v>969</v>
      </c>
      <c r="C804" t="s">
        <v>602</v>
      </c>
      <c r="D804" t="s">
        <v>962</v>
      </c>
      <c r="E804" t="s">
        <v>1771</v>
      </c>
      <c r="F804">
        <v>5760</v>
      </c>
      <c r="G804">
        <v>219749</v>
      </c>
      <c r="H804" t="s">
        <v>964</v>
      </c>
      <c r="I804">
        <v>279</v>
      </c>
      <c r="J804">
        <v>267</v>
      </c>
      <c r="K804" t="s">
        <v>979</v>
      </c>
      <c r="L804" t="s">
        <v>965</v>
      </c>
      <c r="M804" t="s">
        <v>1772</v>
      </c>
    </row>
    <row r="805" spans="1:13" x14ac:dyDescent="0.35">
      <c r="A805">
        <v>104406</v>
      </c>
      <c r="B805">
        <v>3502</v>
      </c>
      <c r="C805" t="s">
        <v>602</v>
      </c>
      <c r="D805" t="s">
        <v>1336</v>
      </c>
      <c r="E805" t="s">
        <v>1773</v>
      </c>
      <c r="F805">
        <v>695</v>
      </c>
      <c r="G805">
        <v>229411</v>
      </c>
      <c r="H805" t="s">
        <v>964</v>
      </c>
      <c r="I805">
        <v>279</v>
      </c>
      <c r="J805">
        <v>280</v>
      </c>
      <c r="L805" t="s">
        <v>965</v>
      </c>
      <c r="M805" t="s">
        <v>1774</v>
      </c>
    </row>
    <row r="806" spans="1:13" x14ac:dyDescent="0.35">
      <c r="A806">
        <v>0</v>
      </c>
      <c r="B806">
        <v>3007</v>
      </c>
      <c r="C806" t="s">
        <v>602</v>
      </c>
      <c r="D806" t="s">
        <v>1301</v>
      </c>
      <c r="E806" t="s">
        <v>1775</v>
      </c>
      <c r="F806">
        <v>7233</v>
      </c>
      <c r="I806">
        <v>279</v>
      </c>
      <c r="J806">
        <v>278</v>
      </c>
      <c r="M806" t="s">
        <v>1775</v>
      </c>
    </row>
    <row r="807" spans="1:13" x14ac:dyDescent="0.35">
      <c r="A807">
        <v>103178</v>
      </c>
      <c r="B807">
        <v>1432</v>
      </c>
      <c r="C807" t="s">
        <v>602</v>
      </c>
      <c r="D807" t="s">
        <v>1066</v>
      </c>
      <c r="E807" t="s">
        <v>1776</v>
      </c>
      <c r="F807">
        <v>4167171</v>
      </c>
      <c r="G807">
        <v>222201</v>
      </c>
      <c r="H807" t="s">
        <v>964</v>
      </c>
      <c r="I807">
        <v>279</v>
      </c>
      <c r="J807">
        <v>284</v>
      </c>
      <c r="K807" t="s">
        <v>1068</v>
      </c>
      <c r="L807" t="s">
        <v>980</v>
      </c>
      <c r="M807" t="s">
        <v>1777</v>
      </c>
    </row>
    <row r="808" spans="1:13" x14ac:dyDescent="0.35">
      <c r="A808">
        <v>0</v>
      </c>
      <c r="B808">
        <v>3006</v>
      </c>
      <c r="C808" t="s">
        <v>602</v>
      </c>
      <c r="D808" t="s">
        <v>1301</v>
      </c>
      <c r="E808" t="s">
        <v>1778</v>
      </c>
      <c r="F808">
        <v>7232</v>
      </c>
      <c r="I808">
        <v>278</v>
      </c>
      <c r="J808">
        <v>277</v>
      </c>
      <c r="M808" t="s">
        <v>1778</v>
      </c>
    </row>
    <row r="809" spans="1:13" x14ac:dyDescent="0.35">
      <c r="A809">
        <v>104316</v>
      </c>
      <c r="B809">
        <v>1294</v>
      </c>
      <c r="C809" t="s">
        <v>602</v>
      </c>
      <c r="D809" t="s">
        <v>962</v>
      </c>
      <c r="E809" t="s">
        <v>1779</v>
      </c>
      <c r="F809">
        <v>5616</v>
      </c>
      <c r="G809">
        <v>228115</v>
      </c>
      <c r="H809" t="s">
        <v>964</v>
      </c>
      <c r="I809">
        <v>278</v>
      </c>
      <c r="J809">
        <v>266</v>
      </c>
      <c r="K809" t="s">
        <v>979</v>
      </c>
      <c r="L809" t="s">
        <v>965</v>
      </c>
      <c r="M809" t="s">
        <v>1780</v>
      </c>
    </row>
    <row r="810" spans="1:13" x14ac:dyDescent="0.35">
      <c r="A810">
        <v>103238</v>
      </c>
      <c r="B810">
        <v>1446</v>
      </c>
      <c r="C810" t="s">
        <v>602</v>
      </c>
      <c r="D810" t="s">
        <v>1066</v>
      </c>
      <c r="E810" t="s">
        <v>1781</v>
      </c>
      <c r="F810">
        <v>4167111</v>
      </c>
      <c r="G810">
        <v>222328</v>
      </c>
      <c r="H810" t="s">
        <v>964</v>
      </c>
      <c r="I810">
        <v>278</v>
      </c>
      <c r="J810">
        <v>283</v>
      </c>
      <c r="K810" t="s">
        <v>1068</v>
      </c>
      <c r="L810" t="s">
        <v>965</v>
      </c>
      <c r="M810" t="s">
        <v>1782</v>
      </c>
    </row>
    <row r="811" spans="1:13" x14ac:dyDescent="0.35">
      <c r="A811">
        <v>0</v>
      </c>
      <c r="B811">
        <v>3005</v>
      </c>
      <c r="C811" t="s">
        <v>602</v>
      </c>
      <c r="D811" t="s">
        <v>1301</v>
      </c>
      <c r="E811" t="s">
        <v>1783</v>
      </c>
      <c r="F811">
        <v>7231</v>
      </c>
      <c r="I811">
        <v>277</v>
      </c>
      <c r="J811">
        <v>276</v>
      </c>
      <c r="M811" t="s">
        <v>1783</v>
      </c>
    </row>
    <row r="812" spans="1:13" x14ac:dyDescent="0.35">
      <c r="A812">
        <v>103192</v>
      </c>
      <c r="B812">
        <v>1437</v>
      </c>
      <c r="C812" t="s">
        <v>602</v>
      </c>
      <c r="D812" t="s">
        <v>1066</v>
      </c>
      <c r="E812" t="s">
        <v>1784</v>
      </c>
      <c r="F812">
        <v>4167168</v>
      </c>
      <c r="G812">
        <v>222244</v>
      </c>
      <c r="H812" t="s">
        <v>964</v>
      </c>
      <c r="I812">
        <v>277</v>
      </c>
      <c r="J812">
        <v>282</v>
      </c>
      <c r="K812" t="s">
        <v>1068</v>
      </c>
      <c r="L812" t="s">
        <v>965</v>
      </c>
      <c r="M812" t="s">
        <v>1785</v>
      </c>
    </row>
    <row r="813" spans="1:13" x14ac:dyDescent="0.35">
      <c r="A813">
        <v>104318</v>
      </c>
      <c r="B813">
        <v>1296</v>
      </c>
      <c r="C813" t="s">
        <v>602</v>
      </c>
      <c r="D813" t="s">
        <v>962</v>
      </c>
      <c r="E813" t="s">
        <v>1786</v>
      </c>
      <c r="F813">
        <v>5747</v>
      </c>
      <c r="G813">
        <v>228145</v>
      </c>
      <c r="H813" t="s">
        <v>964</v>
      </c>
      <c r="I813">
        <v>277</v>
      </c>
      <c r="J813">
        <v>265</v>
      </c>
      <c r="K813" t="s">
        <v>979</v>
      </c>
      <c r="L813" t="s">
        <v>965</v>
      </c>
      <c r="M813" t="s">
        <v>1787</v>
      </c>
    </row>
    <row r="814" spans="1:13" x14ac:dyDescent="0.35">
      <c r="A814">
        <v>0</v>
      </c>
      <c r="B814">
        <v>3004</v>
      </c>
      <c r="C814" t="s">
        <v>602</v>
      </c>
      <c r="D814" t="s">
        <v>1301</v>
      </c>
      <c r="E814" t="s">
        <v>1788</v>
      </c>
      <c r="F814">
        <v>7230</v>
      </c>
      <c r="I814">
        <v>276</v>
      </c>
      <c r="J814">
        <v>275</v>
      </c>
      <c r="M814" t="s">
        <v>1788</v>
      </c>
    </row>
    <row r="815" spans="1:13" x14ac:dyDescent="0.35">
      <c r="A815">
        <v>103298</v>
      </c>
      <c r="B815">
        <v>1486</v>
      </c>
      <c r="C815" t="s">
        <v>602</v>
      </c>
      <c r="D815" t="s">
        <v>1066</v>
      </c>
      <c r="E815" t="s">
        <v>1789</v>
      </c>
      <c r="F815">
        <v>4167101</v>
      </c>
      <c r="G815">
        <v>222441</v>
      </c>
      <c r="H815" t="s">
        <v>964</v>
      </c>
      <c r="I815">
        <v>276</v>
      </c>
      <c r="J815">
        <v>281</v>
      </c>
      <c r="K815" t="s">
        <v>1068</v>
      </c>
      <c r="L815" t="s">
        <v>965</v>
      </c>
      <c r="M815" t="s">
        <v>1790</v>
      </c>
    </row>
    <row r="816" spans="1:13" x14ac:dyDescent="0.35">
      <c r="A816">
        <v>0</v>
      </c>
      <c r="B816">
        <v>3003</v>
      </c>
      <c r="C816" t="s">
        <v>602</v>
      </c>
      <c r="D816" t="s">
        <v>1301</v>
      </c>
      <c r="E816" t="s">
        <v>1791</v>
      </c>
      <c r="F816">
        <v>7229</v>
      </c>
      <c r="I816">
        <v>275</v>
      </c>
      <c r="J816">
        <v>274</v>
      </c>
      <c r="M816" t="s">
        <v>1791</v>
      </c>
    </row>
    <row r="817" spans="1:13" x14ac:dyDescent="0.35">
      <c r="A817">
        <v>103200</v>
      </c>
      <c r="B817">
        <v>1439</v>
      </c>
      <c r="C817" t="s">
        <v>602</v>
      </c>
      <c r="D817" t="s">
        <v>1066</v>
      </c>
      <c r="E817" t="s">
        <v>1792</v>
      </c>
      <c r="F817">
        <v>4167125</v>
      </c>
      <c r="G817">
        <v>219382</v>
      </c>
      <c r="H817" t="s">
        <v>964</v>
      </c>
      <c r="I817">
        <v>275</v>
      </c>
      <c r="J817">
        <v>280</v>
      </c>
      <c r="K817" t="s">
        <v>1068</v>
      </c>
      <c r="L817" t="s">
        <v>965</v>
      </c>
      <c r="M817" t="s">
        <v>1793</v>
      </c>
    </row>
    <row r="818" spans="1:13" x14ac:dyDescent="0.35">
      <c r="A818">
        <v>0</v>
      </c>
      <c r="B818">
        <v>3503</v>
      </c>
      <c r="C818" t="s">
        <v>602</v>
      </c>
      <c r="D818" t="s">
        <v>1243</v>
      </c>
      <c r="E818" t="s">
        <v>1794</v>
      </c>
      <c r="G818">
        <v>0</v>
      </c>
      <c r="I818">
        <v>275</v>
      </c>
      <c r="J818">
        <v>278</v>
      </c>
      <c r="K818" t="s">
        <v>1761</v>
      </c>
    </row>
    <row r="819" spans="1:13" x14ac:dyDescent="0.35">
      <c r="A819">
        <v>0</v>
      </c>
      <c r="B819">
        <v>3002</v>
      </c>
      <c r="C819" t="s">
        <v>602</v>
      </c>
      <c r="D819" t="s">
        <v>1301</v>
      </c>
      <c r="E819" t="s">
        <v>1795</v>
      </c>
      <c r="F819">
        <v>7228</v>
      </c>
      <c r="I819">
        <v>274</v>
      </c>
      <c r="J819">
        <v>273</v>
      </c>
      <c r="M819" t="s">
        <v>1795</v>
      </c>
    </row>
    <row r="820" spans="1:13" x14ac:dyDescent="0.35">
      <c r="A820">
        <v>103180</v>
      </c>
      <c r="B820">
        <v>1433</v>
      </c>
      <c r="C820" t="s">
        <v>602</v>
      </c>
      <c r="D820" t="s">
        <v>1066</v>
      </c>
      <c r="E820" t="s">
        <v>1796</v>
      </c>
      <c r="F820">
        <v>4167173</v>
      </c>
      <c r="G820">
        <v>222206</v>
      </c>
      <c r="H820" t="s">
        <v>964</v>
      </c>
      <c r="I820">
        <v>274</v>
      </c>
      <c r="J820">
        <v>279</v>
      </c>
      <c r="K820" t="s">
        <v>1068</v>
      </c>
      <c r="L820" t="s">
        <v>965</v>
      </c>
      <c r="M820" t="s">
        <v>1797</v>
      </c>
    </row>
    <row r="821" spans="1:13" x14ac:dyDescent="0.35">
      <c r="A821">
        <v>101273</v>
      </c>
      <c r="B821">
        <v>2259</v>
      </c>
      <c r="C821" t="s">
        <v>602</v>
      </c>
      <c r="D821" t="s">
        <v>1798</v>
      </c>
      <c r="E821" t="s">
        <v>417</v>
      </c>
      <c r="G821">
        <v>219674</v>
      </c>
      <c r="H821" t="s">
        <v>964</v>
      </c>
      <c r="I821">
        <v>274</v>
      </c>
      <c r="J821">
        <v>277</v>
      </c>
      <c r="K821" t="s">
        <v>1799</v>
      </c>
      <c r="L821" t="s">
        <v>965</v>
      </c>
      <c r="M821" t="s">
        <v>1800</v>
      </c>
    </row>
    <row r="822" spans="1:13" x14ac:dyDescent="0.35">
      <c r="A822">
        <v>0</v>
      </c>
      <c r="B822">
        <v>3001</v>
      </c>
      <c r="C822" t="s">
        <v>602</v>
      </c>
      <c r="D822" t="s">
        <v>1301</v>
      </c>
      <c r="E822" t="s">
        <v>1801</v>
      </c>
      <c r="F822">
        <v>7227</v>
      </c>
      <c r="I822">
        <v>273</v>
      </c>
      <c r="J822">
        <v>272</v>
      </c>
      <c r="M822" t="s">
        <v>1801</v>
      </c>
    </row>
    <row r="823" spans="1:13" x14ac:dyDescent="0.35">
      <c r="A823">
        <v>103225</v>
      </c>
      <c r="B823">
        <v>1444</v>
      </c>
      <c r="C823" t="s">
        <v>602</v>
      </c>
      <c r="D823" t="s">
        <v>1066</v>
      </c>
      <c r="E823" t="s">
        <v>1802</v>
      </c>
      <c r="F823">
        <v>4167163</v>
      </c>
      <c r="G823">
        <v>222300</v>
      </c>
      <c r="H823" t="s">
        <v>964</v>
      </c>
      <c r="I823">
        <v>273</v>
      </c>
      <c r="J823">
        <v>278</v>
      </c>
      <c r="K823" t="s">
        <v>1068</v>
      </c>
      <c r="L823" t="s">
        <v>980</v>
      </c>
      <c r="M823" t="s">
        <v>1803</v>
      </c>
    </row>
    <row r="824" spans="1:13" x14ac:dyDescent="0.35">
      <c r="A824">
        <v>0</v>
      </c>
      <c r="B824">
        <v>3499</v>
      </c>
      <c r="C824" t="s">
        <v>602</v>
      </c>
      <c r="D824" t="s">
        <v>1798</v>
      </c>
      <c r="E824" t="s">
        <v>1804</v>
      </c>
      <c r="G824">
        <v>0</v>
      </c>
      <c r="H824" t="s">
        <v>964</v>
      </c>
      <c r="I824">
        <v>273</v>
      </c>
      <c r="J824">
        <v>276</v>
      </c>
      <c r="M824" t="s">
        <v>1804</v>
      </c>
    </row>
    <row r="825" spans="1:13" x14ac:dyDescent="0.35">
      <c r="A825">
        <v>0</v>
      </c>
      <c r="B825">
        <v>3000</v>
      </c>
      <c r="C825" t="s">
        <v>602</v>
      </c>
      <c r="D825" t="s">
        <v>1301</v>
      </c>
      <c r="E825" t="s">
        <v>1805</v>
      </c>
      <c r="F825">
        <v>7226</v>
      </c>
      <c r="I825">
        <v>272</v>
      </c>
      <c r="J825">
        <v>271</v>
      </c>
      <c r="M825" t="s">
        <v>1805</v>
      </c>
    </row>
    <row r="826" spans="1:13" x14ac:dyDescent="0.35">
      <c r="A826">
        <v>102094</v>
      </c>
      <c r="B826">
        <v>1395</v>
      </c>
      <c r="C826" t="s">
        <v>602</v>
      </c>
      <c r="D826" t="s">
        <v>1066</v>
      </c>
      <c r="E826" t="s">
        <v>1806</v>
      </c>
      <c r="F826">
        <v>4167147</v>
      </c>
      <c r="G826">
        <v>220650</v>
      </c>
      <c r="H826" t="s">
        <v>964</v>
      </c>
      <c r="I826">
        <v>272</v>
      </c>
      <c r="J826">
        <v>277</v>
      </c>
      <c r="K826" t="s">
        <v>1068</v>
      </c>
      <c r="L826" t="s">
        <v>965</v>
      </c>
      <c r="M826" t="s">
        <v>1807</v>
      </c>
    </row>
    <row r="827" spans="1:13" x14ac:dyDescent="0.35">
      <c r="A827">
        <v>104415</v>
      </c>
      <c r="B827">
        <v>3500</v>
      </c>
      <c r="C827" t="s">
        <v>602</v>
      </c>
      <c r="D827" t="s">
        <v>1282</v>
      </c>
      <c r="E827" t="s">
        <v>1808</v>
      </c>
      <c r="G827">
        <v>229516</v>
      </c>
      <c r="H827" t="s">
        <v>964</v>
      </c>
      <c r="I827">
        <v>271</v>
      </c>
      <c r="J827">
        <v>274</v>
      </c>
      <c r="K827" t="s">
        <v>1283</v>
      </c>
      <c r="L827" t="s">
        <v>965</v>
      </c>
      <c r="M827" t="s">
        <v>1809</v>
      </c>
    </row>
    <row r="828" spans="1:13" x14ac:dyDescent="0.35">
      <c r="A828">
        <v>0</v>
      </c>
      <c r="B828">
        <v>2999</v>
      </c>
      <c r="C828" t="s">
        <v>602</v>
      </c>
      <c r="D828" t="s">
        <v>1301</v>
      </c>
      <c r="E828" t="s">
        <v>1810</v>
      </c>
      <c r="F828">
        <v>7225</v>
      </c>
      <c r="I828">
        <v>271</v>
      </c>
      <c r="J828">
        <v>270</v>
      </c>
      <c r="M828" t="s">
        <v>1810</v>
      </c>
    </row>
    <row r="829" spans="1:13" x14ac:dyDescent="0.35">
      <c r="A829">
        <v>103278</v>
      </c>
      <c r="B829">
        <v>1473</v>
      </c>
      <c r="C829" t="s">
        <v>602</v>
      </c>
      <c r="D829" t="s">
        <v>1066</v>
      </c>
      <c r="E829" t="s">
        <v>1811</v>
      </c>
      <c r="F829">
        <v>4167164</v>
      </c>
      <c r="G829">
        <v>222400</v>
      </c>
      <c r="H829" t="s">
        <v>964</v>
      </c>
      <c r="I829">
        <v>271</v>
      </c>
      <c r="J829">
        <v>276</v>
      </c>
      <c r="K829" t="s">
        <v>1068</v>
      </c>
      <c r="L829" t="s">
        <v>965</v>
      </c>
      <c r="M829" t="s">
        <v>1812</v>
      </c>
    </row>
    <row r="830" spans="1:13" x14ac:dyDescent="0.35">
      <c r="A830">
        <v>104413</v>
      </c>
      <c r="B830">
        <v>3492</v>
      </c>
      <c r="C830" t="s">
        <v>602</v>
      </c>
      <c r="D830" t="s">
        <v>1282</v>
      </c>
      <c r="E830" t="s">
        <v>1813</v>
      </c>
      <c r="G830">
        <v>229489</v>
      </c>
      <c r="H830" t="s">
        <v>964</v>
      </c>
      <c r="I830">
        <v>271</v>
      </c>
      <c r="J830">
        <v>274</v>
      </c>
      <c r="K830" t="s">
        <v>1283</v>
      </c>
      <c r="L830" t="s">
        <v>965</v>
      </c>
      <c r="M830" t="s">
        <v>1809</v>
      </c>
    </row>
    <row r="831" spans="1:13" x14ac:dyDescent="0.35">
      <c r="A831">
        <v>0</v>
      </c>
      <c r="B831">
        <v>2998</v>
      </c>
      <c r="C831" t="s">
        <v>602</v>
      </c>
      <c r="D831" t="s">
        <v>1301</v>
      </c>
      <c r="E831" t="s">
        <v>1814</v>
      </c>
      <c r="F831">
        <v>7224</v>
      </c>
      <c r="I831">
        <v>270</v>
      </c>
      <c r="J831">
        <v>269</v>
      </c>
      <c r="M831" t="s">
        <v>1814</v>
      </c>
    </row>
    <row r="832" spans="1:13" x14ac:dyDescent="0.35">
      <c r="A832">
        <v>103307</v>
      </c>
      <c r="B832">
        <v>1495</v>
      </c>
      <c r="C832" t="s">
        <v>602</v>
      </c>
      <c r="D832" t="s">
        <v>1066</v>
      </c>
      <c r="E832" t="s">
        <v>1815</v>
      </c>
      <c r="F832">
        <v>4167170</v>
      </c>
      <c r="G832">
        <v>222460</v>
      </c>
      <c r="H832" t="s">
        <v>964</v>
      </c>
      <c r="I832">
        <v>270</v>
      </c>
      <c r="J832">
        <v>275</v>
      </c>
      <c r="K832" t="s">
        <v>1068</v>
      </c>
      <c r="L832" t="s">
        <v>980</v>
      </c>
      <c r="M832" t="s">
        <v>1816</v>
      </c>
    </row>
    <row r="833" spans="1:13" x14ac:dyDescent="0.35">
      <c r="A833">
        <v>104412</v>
      </c>
      <c r="B833">
        <v>3491</v>
      </c>
      <c r="C833" t="s">
        <v>602</v>
      </c>
      <c r="D833" t="s">
        <v>1282</v>
      </c>
      <c r="E833" t="s">
        <v>339</v>
      </c>
      <c r="G833">
        <v>229488</v>
      </c>
      <c r="H833" t="s">
        <v>964</v>
      </c>
      <c r="I833">
        <v>270</v>
      </c>
      <c r="J833">
        <v>273</v>
      </c>
      <c r="K833" t="s">
        <v>1283</v>
      </c>
      <c r="L833" t="s">
        <v>965</v>
      </c>
      <c r="M833" t="s">
        <v>1817</v>
      </c>
    </row>
    <row r="834" spans="1:13" x14ac:dyDescent="0.35">
      <c r="A834">
        <v>104411</v>
      </c>
      <c r="B834">
        <v>3490</v>
      </c>
      <c r="C834" t="s">
        <v>602</v>
      </c>
      <c r="D834" t="s">
        <v>1282</v>
      </c>
      <c r="E834" t="s">
        <v>347</v>
      </c>
      <c r="G834">
        <v>229485</v>
      </c>
      <c r="H834" t="s">
        <v>964</v>
      </c>
      <c r="I834">
        <v>269</v>
      </c>
      <c r="J834">
        <v>272</v>
      </c>
      <c r="K834" t="s">
        <v>1283</v>
      </c>
      <c r="L834" t="s">
        <v>965</v>
      </c>
      <c r="M834" t="s">
        <v>1818</v>
      </c>
    </row>
    <row r="835" spans="1:13" x14ac:dyDescent="0.35">
      <c r="A835">
        <v>102663</v>
      </c>
      <c r="B835">
        <v>1430</v>
      </c>
      <c r="C835" t="s">
        <v>597</v>
      </c>
      <c r="D835" t="s">
        <v>1066</v>
      </c>
      <c r="E835" t="s">
        <v>1819</v>
      </c>
      <c r="F835">
        <v>4167156</v>
      </c>
      <c r="G835">
        <v>221242</v>
      </c>
      <c r="H835" t="s">
        <v>964</v>
      </c>
      <c r="I835">
        <v>269</v>
      </c>
      <c r="J835">
        <v>274</v>
      </c>
      <c r="K835" t="s">
        <v>1820</v>
      </c>
      <c r="L835" t="s">
        <v>965</v>
      </c>
      <c r="M835" t="s">
        <v>1821</v>
      </c>
    </row>
    <row r="836" spans="1:13" x14ac:dyDescent="0.35">
      <c r="A836">
        <v>0</v>
      </c>
      <c r="B836">
        <v>2997</v>
      </c>
      <c r="C836" t="s">
        <v>602</v>
      </c>
      <c r="D836" t="s">
        <v>1301</v>
      </c>
      <c r="E836" t="s">
        <v>1822</v>
      </c>
      <c r="F836">
        <v>7223</v>
      </c>
      <c r="I836">
        <v>269</v>
      </c>
      <c r="J836">
        <v>268</v>
      </c>
      <c r="M836" t="s">
        <v>1822</v>
      </c>
    </row>
    <row r="837" spans="1:13" x14ac:dyDescent="0.35">
      <c r="A837">
        <v>103315</v>
      </c>
      <c r="B837">
        <v>1499</v>
      </c>
      <c r="C837" t="s">
        <v>602</v>
      </c>
      <c r="D837" t="s">
        <v>1066</v>
      </c>
      <c r="E837" t="s">
        <v>1823</v>
      </c>
      <c r="F837">
        <v>4167181</v>
      </c>
      <c r="G837">
        <v>222442</v>
      </c>
      <c r="H837" t="s">
        <v>964</v>
      </c>
      <c r="I837">
        <v>268</v>
      </c>
      <c r="J837">
        <v>273</v>
      </c>
      <c r="K837" t="s">
        <v>1068</v>
      </c>
      <c r="L837" t="s">
        <v>965</v>
      </c>
      <c r="M837" t="s">
        <v>1824</v>
      </c>
    </row>
    <row r="838" spans="1:13" x14ac:dyDescent="0.35">
      <c r="A838">
        <v>104410</v>
      </c>
      <c r="B838">
        <v>3489</v>
      </c>
      <c r="C838" t="s">
        <v>602</v>
      </c>
      <c r="D838" t="s">
        <v>1282</v>
      </c>
      <c r="E838" t="s">
        <v>351</v>
      </c>
      <c r="G838">
        <v>229486</v>
      </c>
      <c r="H838" t="s">
        <v>964</v>
      </c>
      <c r="I838">
        <v>268</v>
      </c>
      <c r="J838">
        <v>271</v>
      </c>
      <c r="K838" t="s">
        <v>1283</v>
      </c>
      <c r="L838" t="s">
        <v>965</v>
      </c>
      <c r="M838" t="s">
        <v>1825</v>
      </c>
    </row>
    <row r="839" spans="1:13" x14ac:dyDescent="0.35">
      <c r="A839">
        <v>0</v>
      </c>
      <c r="B839">
        <v>2996</v>
      </c>
      <c r="C839" t="s">
        <v>602</v>
      </c>
      <c r="D839" t="s">
        <v>1301</v>
      </c>
      <c r="E839" t="s">
        <v>1826</v>
      </c>
      <c r="F839">
        <v>7222</v>
      </c>
      <c r="I839">
        <v>268</v>
      </c>
      <c r="J839">
        <v>267</v>
      </c>
      <c r="M839" t="s">
        <v>1826</v>
      </c>
    </row>
    <row r="840" spans="1:13" x14ac:dyDescent="0.35">
      <c r="A840">
        <v>0</v>
      </c>
      <c r="B840">
        <v>2995</v>
      </c>
      <c r="C840" t="s">
        <v>602</v>
      </c>
      <c r="D840" t="s">
        <v>1301</v>
      </c>
      <c r="E840" t="s">
        <v>1827</v>
      </c>
      <c r="F840">
        <v>7221</v>
      </c>
      <c r="I840">
        <v>267</v>
      </c>
      <c r="J840">
        <v>266</v>
      </c>
      <c r="M840" t="s">
        <v>1827</v>
      </c>
    </row>
    <row r="841" spans="1:13" x14ac:dyDescent="0.35">
      <c r="A841">
        <v>104414</v>
      </c>
      <c r="B841">
        <v>3493</v>
      </c>
      <c r="C841" t="s">
        <v>602</v>
      </c>
      <c r="D841" t="s">
        <v>1282</v>
      </c>
      <c r="E841" t="s">
        <v>343</v>
      </c>
      <c r="G841">
        <v>229487</v>
      </c>
      <c r="H841" t="s">
        <v>964</v>
      </c>
      <c r="I841">
        <v>267</v>
      </c>
      <c r="J841">
        <v>270</v>
      </c>
      <c r="K841" t="s">
        <v>1283</v>
      </c>
      <c r="L841" t="s">
        <v>965</v>
      </c>
      <c r="M841" t="s">
        <v>1828</v>
      </c>
    </row>
    <row r="842" spans="1:13" x14ac:dyDescent="0.35">
      <c r="A842">
        <v>103282</v>
      </c>
      <c r="B842">
        <v>1475</v>
      </c>
      <c r="C842" t="s">
        <v>602</v>
      </c>
      <c r="D842" t="s">
        <v>1066</v>
      </c>
      <c r="E842" t="s">
        <v>1829</v>
      </c>
      <c r="F842">
        <v>4167179</v>
      </c>
      <c r="G842">
        <v>217603</v>
      </c>
      <c r="H842" t="s">
        <v>964</v>
      </c>
      <c r="I842">
        <v>267</v>
      </c>
      <c r="J842">
        <v>272</v>
      </c>
      <c r="K842" t="s">
        <v>1068</v>
      </c>
      <c r="L842" t="s">
        <v>965</v>
      </c>
      <c r="M842" t="s">
        <v>1830</v>
      </c>
    </row>
    <row r="843" spans="1:13" x14ac:dyDescent="0.35">
      <c r="A843">
        <v>103297</v>
      </c>
      <c r="B843">
        <v>1485</v>
      </c>
      <c r="C843" t="s">
        <v>602</v>
      </c>
      <c r="D843" t="s">
        <v>1066</v>
      </c>
      <c r="E843" t="s">
        <v>1831</v>
      </c>
      <c r="F843">
        <v>4167169</v>
      </c>
      <c r="G843">
        <v>219448</v>
      </c>
      <c r="H843" t="s">
        <v>964</v>
      </c>
      <c r="I843">
        <v>266</v>
      </c>
      <c r="J843">
        <v>271</v>
      </c>
      <c r="K843" t="s">
        <v>1068</v>
      </c>
      <c r="L843" t="s">
        <v>965</v>
      </c>
      <c r="M843" t="s">
        <v>1832</v>
      </c>
    </row>
    <row r="844" spans="1:13" x14ac:dyDescent="0.35">
      <c r="A844">
        <v>0</v>
      </c>
      <c r="B844">
        <v>2994</v>
      </c>
      <c r="C844" t="s">
        <v>602</v>
      </c>
      <c r="D844" t="s">
        <v>1301</v>
      </c>
      <c r="E844" t="s">
        <v>1833</v>
      </c>
      <c r="F844">
        <v>7220</v>
      </c>
      <c r="I844">
        <v>266</v>
      </c>
      <c r="J844">
        <v>265</v>
      </c>
      <c r="M844" t="s">
        <v>1833</v>
      </c>
    </row>
    <row r="845" spans="1:13" x14ac:dyDescent="0.35">
      <c r="A845">
        <v>0</v>
      </c>
      <c r="B845">
        <v>3494</v>
      </c>
      <c r="C845" t="s">
        <v>602</v>
      </c>
      <c r="D845" t="s">
        <v>1282</v>
      </c>
      <c r="E845" t="s">
        <v>1834</v>
      </c>
      <c r="G845">
        <v>0</v>
      </c>
      <c r="H845" t="s">
        <v>964</v>
      </c>
      <c r="I845">
        <v>266</v>
      </c>
      <c r="J845">
        <v>269</v>
      </c>
      <c r="K845" t="s">
        <v>1283</v>
      </c>
      <c r="L845" t="s">
        <v>965</v>
      </c>
      <c r="M845" t="s">
        <v>1834</v>
      </c>
    </row>
    <row r="846" spans="1:13" x14ac:dyDescent="0.35">
      <c r="A846">
        <v>103279</v>
      </c>
      <c r="B846">
        <v>1474</v>
      </c>
      <c r="C846" t="s">
        <v>602</v>
      </c>
      <c r="D846" t="s">
        <v>1066</v>
      </c>
      <c r="E846" t="s">
        <v>1835</v>
      </c>
      <c r="F846">
        <v>4167142</v>
      </c>
      <c r="G846">
        <v>222402</v>
      </c>
      <c r="H846" t="s">
        <v>964</v>
      </c>
      <c r="I846">
        <v>265</v>
      </c>
      <c r="J846">
        <v>270</v>
      </c>
      <c r="K846" t="s">
        <v>1068</v>
      </c>
      <c r="L846" t="s">
        <v>965</v>
      </c>
      <c r="M846" t="s">
        <v>1836</v>
      </c>
    </row>
    <row r="847" spans="1:13" x14ac:dyDescent="0.35">
      <c r="A847">
        <v>0</v>
      </c>
      <c r="B847">
        <v>2993</v>
      </c>
      <c r="C847" t="s">
        <v>602</v>
      </c>
      <c r="D847" t="s">
        <v>1301</v>
      </c>
      <c r="E847" t="s">
        <v>1837</v>
      </c>
      <c r="F847">
        <v>7219</v>
      </c>
      <c r="I847">
        <v>265</v>
      </c>
      <c r="J847">
        <v>264</v>
      </c>
      <c r="M847" t="s">
        <v>1837</v>
      </c>
    </row>
    <row r="848" spans="1:13" x14ac:dyDescent="0.35">
      <c r="A848">
        <v>0</v>
      </c>
      <c r="B848">
        <v>3488</v>
      </c>
      <c r="C848" t="s">
        <v>602</v>
      </c>
      <c r="D848" t="s">
        <v>1838</v>
      </c>
      <c r="E848" t="s">
        <v>1839</v>
      </c>
      <c r="G848">
        <v>0</v>
      </c>
      <c r="H848" t="s">
        <v>964</v>
      </c>
      <c r="I848">
        <v>265</v>
      </c>
      <c r="J848">
        <v>268</v>
      </c>
      <c r="L848" t="s">
        <v>1840</v>
      </c>
      <c r="M848" t="s">
        <v>1839</v>
      </c>
    </row>
    <row r="849" spans="1:13" x14ac:dyDescent="0.35">
      <c r="A849">
        <v>0</v>
      </c>
      <c r="B849">
        <v>3487</v>
      </c>
      <c r="C849" t="s">
        <v>602</v>
      </c>
      <c r="D849" t="s">
        <v>1841</v>
      </c>
      <c r="E849" t="s">
        <v>1842</v>
      </c>
      <c r="G849">
        <v>0</v>
      </c>
      <c r="H849" t="s">
        <v>964</v>
      </c>
      <c r="I849">
        <v>264</v>
      </c>
      <c r="J849">
        <v>267</v>
      </c>
      <c r="L849" t="s">
        <v>1840</v>
      </c>
      <c r="M849" t="s">
        <v>1842</v>
      </c>
    </row>
    <row r="850" spans="1:13" x14ac:dyDescent="0.35">
      <c r="A850">
        <v>103224</v>
      </c>
      <c r="B850">
        <v>1443</v>
      </c>
      <c r="C850" t="s">
        <v>602</v>
      </c>
      <c r="D850" t="s">
        <v>1066</v>
      </c>
      <c r="E850" t="s">
        <v>1843</v>
      </c>
      <c r="F850">
        <v>4167115</v>
      </c>
      <c r="G850">
        <v>219018</v>
      </c>
      <c r="H850" t="s">
        <v>964</v>
      </c>
      <c r="I850">
        <v>264</v>
      </c>
      <c r="J850">
        <v>269</v>
      </c>
      <c r="K850" t="s">
        <v>1068</v>
      </c>
      <c r="L850" t="s">
        <v>965</v>
      </c>
      <c r="M850" t="s">
        <v>1844</v>
      </c>
    </row>
    <row r="851" spans="1:13" x14ac:dyDescent="0.35">
      <c r="A851">
        <v>0</v>
      </c>
      <c r="B851">
        <v>2992</v>
      </c>
      <c r="C851" t="s">
        <v>602</v>
      </c>
      <c r="D851" t="s">
        <v>1301</v>
      </c>
      <c r="E851" t="s">
        <v>1845</v>
      </c>
      <c r="F851">
        <v>7218</v>
      </c>
      <c r="I851">
        <v>264</v>
      </c>
      <c r="J851">
        <v>263</v>
      </c>
      <c r="M851" t="s">
        <v>1845</v>
      </c>
    </row>
    <row r="852" spans="1:13" x14ac:dyDescent="0.35">
      <c r="A852">
        <v>0</v>
      </c>
      <c r="B852">
        <v>2991</v>
      </c>
      <c r="C852" t="s">
        <v>602</v>
      </c>
      <c r="D852" t="s">
        <v>1301</v>
      </c>
      <c r="E852" t="s">
        <v>1846</v>
      </c>
      <c r="F852">
        <v>7217</v>
      </c>
      <c r="I852">
        <v>263</v>
      </c>
      <c r="J852">
        <v>262</v>
      </c>
      <c r="M852" t="s">
        <v>1846</v>
      </c>
    </row>
    <row r="853" spans="1:13" x14ac:dyDescent="0.35">
      <c r="A853">
        <v>0</v>
      </c>
      <c r="B853">
        <v>3505</v>
      </c>
      <c r="C853" t="s">
        <v>602</v>
      </c>
      <c r="D853" t="s">
        <v>1243</v>
      </c>
      <c r="E853" t="s">
        <v>1847</v>
      </c>
      <c r="G853">
        <v>0</v>
      </c>
      <c r="I853">
        <v>263</v>
      </c>
      <c r="J853">
        <v>266</v>
      </c>
      <c r="K853" t="s">
        <v>1761</v>
      </c>
      <c r="M853" t="s">
        <v>1847</v>
      </c>
    </row>
    <row r="854" spans="1:13" x14ac:dyDescent="0.35">
      <c r="A854">
        <v>103338</v>
      </c>
      <c r="B854">
        <v>1508</v>
      </c>
      <c r="C854" t="s">
        <v>602</v>
      </c>
      <c r="D854" t="s">
        <v>1066</v>
      </c>
      <c r="E854" t="s">
        <v>1848</v>
      </c>
      <c r="F854">
        <v>4167127</v>
      </c>
      <c r="G854">
        <v>220742</v>
      </c>
      <c r="H854" t="s">
        <v>964</v>
      </c>
      <c r="I854">
        <v>263</v>
      </c>
      <c r="J854">
        <v>268</v>
      </c>
      <c r="K854" t="s">
        <v>1068</v>
      </c>
      <c r="L854" t="s">
        <v>965</v>
      </c>
      <c r="M854" t="s">
        <v>1849</v>
      </c>
    </row>
    <row r="855" spans="1:13" x14ac:dyDescent="0.35">
      <c r="A855">
        <v>0</v>
      </c>
      <c r="B855">
        <v>2990</v>
      </c>
      <c r="C855" t="s">
        <v>602</v>
      </c>
      <c r="D855" t="s">
        <v>1301</v>
      </c>
      <c r="E855" t="s">
        <v>1850</v>
      </c>
      <c r="F855">
        <v>7216</v>
      </c>
      <c r="I855">
        <v>262</v>
      </c>
      <c r="J855">
        <v>261</v>
      </c>
      <c r="M855" t="s">
        <v>1850</v>
      </c>
    </row>
    <row r="856" spans="1:13" x14ac:dyDescent="0.35">
      <c r="A856">
        <v>0</v>
      </c>
      <c r="B856">
        <v>3485</v>
      </c>
      <c r="C856" t="s">
        <v>602</v>
      </c>
      <c r="D856" t="s">
        <v>1173</v>
      </c>
      <c r="E856" t="s">
        <v>1851</v>
      </c>
      <c r="G856">
        <v>0</v>
      </c>
      <c r="H856" t="s">
        <v>964</v>
      </c>
      <c r="I856">
        <v>262</v>
      </c>
      <c r="J856">
        <v>265</v>
      </c>
      <c r="M856" t="s">
        <v>1851</v>
      </c>
    </row>
    <row r="857" spans="1:13" x14ac:dyDescent="0.35">
      <c r="A857">
        <v>104315</v>
      </c>
      <c r="B857">
        <v>1293</v>
      </c>
      <c r="C857" t="s">
        <v>602</v>
      </c>
      <c r="D857" t="s">
        <v>962</v>
      </c>
      <c r="E857" t="s">
        <v>1852</v>
      </c>
      <c r="F857">
        <v>5722</v>
      </c>
      <c r="G857">
        <v>228095</v>
      </c>
      <c r="H857" t="s">
        <v>964</v>
      </c>
      <c r="I857">
        <v>262</v>
      </c>
      <c r="J857">
        <v>263</v>
      </c>
      <c r="K857" t="s">
        <v>979</v>
      </c>
      <c r="L857" t="s">
        <v>965</v>
      </c>
      <c r="M857" t="s">
        <v>1853</v>
      </c>
    </row>
    <row r="858" spans="1:13" x14ac:dyDescent="0.35">
      <c r="A858">
        <v>103249</v>
      </c>
      <c r="B858">
        <v>1457</v>
      </c>
      <c r="C858" t="s">
        <v>602</v>
      </c>
      <c r="D858" t="s">
        <v>1066</v>
      </c>
      <c r="E858" t="s">
        <v>1854</v>
      </c>
      <c r="F858">
        <v>4167093</v>
      </c>
      <c r="G858">
        <v>219126</v>
      </c>
      <c r="H858" t="s">
        <v>964</v>
      </c>
      <c r="I858">
        <v>262</v>
      </c>
      <c r="J858">
        <v>267</v>
      </c>
      <c r="K858" t="s">
        <v>1068</v>
      </c>
      <c r="L858" t="s">
        <v>965</v>
      </c>
      <c r="M858" t="s">
        <v>1855</v>
      </c>
    </row>
    <row r="859" spans="1:13" x14ac:dyDescent="0.35">
      <c r="A859">
        <v>103242</v>
      </c>
      <c r="B859">
        <v>1450</v>
      </c>
      <c r="C859" t="s">
        <v>602</v>
      </c>
      <c r="D859" t="s">
        <v>1066</v>
      </c>
      <c r="E859" t="s">
        <v>1856</v>
      </c>
      <c r="F859">
        <v>4167121</v>
      </c>
      <c r="G859">
        <v>222334</v>
      </c>
      <c r="H859" t="s">
        <v>964</v>
      </c>
      <c r="I859">
        <v>261</v>
      </c>
      <c r="J859">
        <v>266</v>
      </c>
      <c r="K859" t="s">
        <v>1068</v>
      </c>
      <c r="L859" t="s">
        <v>965</v>
      </c>
      <c r="M859" t="s">
        <v>1857</v>
      </c>
    </row>
    <row r="860" spans="1:13" x14ac:dyDescent="0.35">
      <c r="A860">
        <v>0</v>
      </c>
      <c r="B860">
        <v>2989</v>
      </c>
      <c r="C860" t="s">
        <v>602</v>
      </c>
      <c r="D860" t="s">
        <v>1301</v>
      </c>
      <c r="E860" t="s">
        <v>1858</v>
      </c>
      <c r="F860">
        <v>7215</v>
      </c>
      <c r="I860">
        <v>261</v>
      </c>
      <c r="J860">
        <v>260</v>
      </c>
      <c r="M860" t="s">
        <v>1858</v>
      </c>
    </row>
    <row r="861" spans="1:13" x14ac:dyDescent="0.35">
      <c r="A861">
        <v>104314</v>
      </c>
      <c r="B861">
        <v>1292</v>
      </c>
      <c r="C861" t="s">
        <v>602</v>
      </c>
      <c r="D861" t="s">
        <v>962</v>
      </c>
      <c r="E861" t="s">
        <v>1859</v>
      </c>
      <c r="F861">
        <v>5787</v>
      </c>
      <c r="G861">
        <v>228085</v>
      </c>
      <c r="H861" t="s">
        <v>964</v>
      </c>
      <c r="I861">
        <v>261</v>
      </c>
      <c r="J861">
        <v>262</v>
      </c>
      <c r="K861" t="s">
        <v>979</v>
      </c>
      <c r="L861" t="s">
        <v>980</v>
      </c>
      <c r="M861" t="s">
        <v>1860</v>
      </c>
    </row>
    <row r="862" spans="1:13" x14ac:dyDescent="0.35">
      <c r="A862">
        <v>104409</v>
      </c>
      <c r="B862">
        <v>3481</v>
      </c>
      <c r="C862" t="s">
        <v>597</v>
      </c>
      <c r="D862" t="s">
        <v>1861</v>
      </c>
      <c r="E862" t="s">
        <v>1862</v>
      </c>
      <c r="G862">
        <v>229473</v>
      </c>
      <c r="H862" t="s">
        <v>964</v>
      </c>
      <c r="I862">
        <v>261</v>
      </c>
      <c r="J862">
        <v>264</v>
      </c>
      <c r="L862" t="s">
        <v>965</v>
      </c>
      <c r="M862" t="s">
        <v>1863</v>
      </c>
    </row>
    <row r="863" spans="1:13" x14ac:dyDescent="0.35">
      <c r="A863">
        <v>0</v>
      </c>
      <c r="B863">
        <v>2988</v>
      </c>
      <c r="C863" t="s">
        <v>602</v>
      </c>
      <c r="D863" t="s">
        <v>1301</v>
      </c>
      <c r="E863" t="s">
        <v>1864</v>
      </c>
      <c r="F863">
        <v>7214</v>
      </c>
      <c r="I863">
        <v>260</v>
      </c>
      <c r="J863">
        <v>259</v>
      </c>
      <c r="M863" t="s">
        <v>1864</v>
      </c>
    </row>
    <row r="864" spans="1:13" x14ac:dyDescent="0.35">
      <c r="A864">
        <v>0</v>
      </c>
      <c r="B864">
        <v>3483</v>
      </c>
      <c r="C864" t="s">
        <v>602</v>
      </c>
      <c r="D864" t="s">
        <v>1861</v>
      </c>
      <c r="E864" t="s">
        <v>1865</v>
      </c>
      <c r="G864">
        <v>0</v>
      </c>
      <c r="H864" t="s">
        <v>964</v>
      </c>
      <c r="I864">
        <v>260</v>
      </c>
      <c r="J864">
        <v>263</v>
      </c>
      <c r="L864" t="s">
        <v>965</v>
      </c>
      <c r="M864" t="s">
        <v>1865</v>
      </c>
    </row>
    <row r="865" spans="1:13" x14ac:dyDescent="0.35">
      <c r="A865">
        <v>103266</v>
      </c>
      <c r="B865">
        <v>1464</v>
      </c>
      <c r="C865" t="s">
        <v>602</v>
      </c>
      <c r="D865" t="s">
        <v>1066</v>
      </c>
      <c r="E865" t="s">
        <v>1866</v>
      </c>
      <c r="F865">
        <v>4167128</v>
      </c>
      <c r="G865">
        <v>222380</v>
      </c>
      <c r="H865" t="s">
        <v>964</v>
      </c>
      <c r="I865">
        <v>260</v>
      </c>
      <c r="J865">
        <v>265</v>
      </c>
      <c r="K865" t="s">
        <v>1068</v>
      </c>
      <c r="L865" t="s">
        <v>980</v>
      </c>
      <c r="M865" t="s">
        <v>1867</v>
      </c>
    </row>
    <row r="866" spans="1:13" x14ac:dyDescent="0.35">
      <c r="A866">
        <v>104304</v>
      </c>
      <c r="B866">
        <v>1291</v>
      </c>
      <c r="C866" t="s">
        <v>602</v>
      </c>
      <c r="D866" t="s">
        <v>962</v>
      </c>
      <c r="E866" t="s">
        <v>1868</v>
      </c>
      <c r="F866">
        <v>5713</v>
      </c>
      <c r="G866">
        <v>227867</v>
      </c>
      <c r="H866" t="s">
        <v>964</v>
      </c>
      <c r="I866">
        <v>260</v>
      </c>
      <c r="J866">
        <v>261</v>
      </c>
      <c r="K866" t="s">
        <v>979</v>
      </c>
      <c r="L866" t="s">
        <v>965</v>
      </c>
      <c r="M866" t="s">
        <v>1869</v>
      </c>
    </row>
    <row r="867" spans="1:13" x14ac:dyDescent="0.35">
      <c r="A867">
        <v>0</v>
      </c>
      <c r="B867">
        <v>3477</v>
      </c>
      <c r="C867" t="s">
        <v>602</v>
      </c>
      <c r="D867" t="s">
        <v>1870</v>
      </c>
      <c r="E867" t="s">
        <v>1871</v>
      </c>
      <c r="G867">
        <v>0</v>
      </c>
      <c r="H867" t="s">
        <v>964</v>
      </c>
      <c r="I867">
        <v>259</v>
      </c>
      <c r="J867">
        <v>262</v>
      </c>
      <c r="L867" t="s">
        <v>1840</v>
      </c>
      <c r="M867" t="s">
        <v>1871</v>
      </c>
    </row>
    <row r="868" spans="1:13" x14ac:dyDescent="0.35">
      <c r="A868">
        <v>103301</v>
      </c>
      <c r="B868">
        <v>1489</v>
      </c>
      <c r="C868" t="s">
        <v>602</v>
      </c>
      <c r="D868" t="s">
        <v>1066</v>
      </c>
      <c r="E868" t="s">
        <v>1872</v>
      </c>
      <c r="F868">
        <v>4167161</v>
      </c>
      <c r="G868">
        <v>222443</v>
      </c>
      <c r="H868" t="s">
        <v>964</v>
      </c>
      <c r="I868">
        <v>259</v>
      </c>
      <c r="J868">
        <v>264</v>
      </c>
      <c r="K868" t="s">
        <v>1068</v>
      </c>
      <c r="L868" t="s">
        <v>965</v>
      </c>
      <c r="M868" t="s">
        <v>1873</v>
      </c>
    </row>
    <row r="869" spans="1:13" x14ac:dyDescent="0.35">
      <c r="A869">
        <v>0</v>
      </c>
      <c r="B869">
        <v>2987</v>
      </c>
      <c r="C869" t="s">
        <v>602</v>
      </c>
      <c r="D869" t="s">
        <v>1301</v>
      </c>
      <c r="E869" t="s">
        <v>1874</v>
      </c>
      <c r="F869">
        <v>7213</v>
      </c>
      <c r="I869">
        <v>259</v>
      </c>
      <c r="J869">
        <v>258</v>
      </c>
      <c r="M869" t="s">
        <v>1874</v>
      </c>
    </row>
    <row r="870" spans="1:13" x14ac:dyDescent="0.35">
      <c r="A870">
        <v>101276</v>
      </c>
      <c r="B870">
        <v>961</v>
      </c>
      <c r="C870" t="s">
        <v>602</v>
      </c>
      <c r="D870" t="s">
        <v>962</v>
      </c>
      <c r="E870" t="s">
        <v>1875</v>
      </c>
      <c r="F870">
        <v>3491</v>
      </c>
      <c r="G870">
        <v>218636</v>
      </c>
      <c r="H870" t="s">
        <v>964</v>
      </c>
      <c r="I870">
        <v>259</v>
      </c>
      <c r="J870">
        <v>260</v>
      </c>
      <c r="K870" t="s">
        <v>1051</v>
      </c>
      <c r="L870" t="s">
        <v>965</v>
      </c>
      <c r="M870" t="s">
        <v>1876</v>
      </c>
    </row>
    <row r="871" spans="1:13" x14ac:dyDescent="0.35">
      <c r="A871">
        <v>104290</v>
      </c>
      <c r="B871">
        <v>1288</v>
      </c>
      <c r="C871" t="s">
        <v>602</v>
      </c>
      <c r="D871" t="s">
        <v>962</v>
      </c>
      <c r="E871" t="s">
        <v>1877</v>
      </c>
      <c r="F871">
        <v>5712</v>
      </c>
      <c r="G871">
        <v>227710</v>
      </c>
      <c r="H871" t="s">
        <v>964</v>
      </c>
      <c r="I871">
        <v>258</v>
      </c>
      <c r="J871">
        <v>259</v>
      </c>
      <c r="K871" t="s">
        <v>979</v>
      </c>
      <c r="L871" t="s">
        <v>965</v>
      </c>
      <c r="M871" t="s">
        <v>1878</v>
      </c>
    </row>
    <row r="872" spans="1:13" x14ac:dyDescent="0.35">
      <c r="A872">
        <v>0</v>
      </c>
      <c r="B872">
        <v>2986</v>
      </c>
      <c r="C872" t="s">
        <v>602</v>
      </c>
      <c r="D872" t="s">
        <v>1301</v>
      </c>
      <c r="E872" t="s">
        <v>1879</v>
      </c>
      <c r="F872">
        <v>7212</v>
      </c>
      <c r="I872">
        <v>258</v>
      </c>
      <c r="J872">
        <v>257</v>
      </c>
      <c r="M872" t="s">
        <v>1879</v>
      </c>
    </row>
    <row r="873" spans="1:13" x14ac:dyDescent="0.35">
      <c r="A873">
        <v>102090</v>
      </c>
      <c r="B873">
        <v>1391</v>
      </c>
      <c r="C873" t="s">
        <v>602</v>
      </c>
      <c r="D873" t="s">
        <v>1066</v>
      </c>
      <c r="E873" t="s">
        <v>1880</v>
      </c>
      <c r="F873">
        <v>4167150</v>
      </c>
      <c r="G873">
        <v>219721</v>
      </c>
      <c r="H873" t="s">
        <v>964</v>
      </c>
      <c r="I873">
        <v>258</v>
      </c>
      <c r="J873">
        <v>263</v>
      </c>
      <c r="K873" t="s">
        <v>1068</v>
      </c>
      <c r="L873" t="s">
        <v>965</v>
      </c>
      <c r="M873" t="s">
        <v>1881</v>
      </c>
    </row>
    <row r="874" spans="1:13" x14ac:dyDescent="0.35">
      <c r="A874">
        <v>104408</v>
      </c>
      <c r="B874">
        <v>3482</v>
      </c>
      <c r="C874" t="s">
        <v>602</v>
      </c>
      <c r="D874" t="s">
        <v>1882</v>
      </c>
      <c r="E874" t="s">
        <v>105</v>
      </c>
      <c r="G874">
        <v>219</v>
      </c>
      <c r="H874" t="s">
        <v>964</v>
      </c>
      <c r="I874">
        <v>258</v>
      </c>
      <c r="J874">
        <v>261</v>
      </c>
      <c r="K874" t="s">
        <v>1283</v>
      </c>
      <c r="L874" t="s">
        <v>965</v>
      </c>
      <c r="M874" t="s">
        <v>1883</v>
      </c>
    </row>
    <row r="875" spans="1:13" x14ac:dyDescent="0.35">
      <c r="A875">
        <v>0</v>
      </c>
      <c r="B875">
        <v>3484</v>
      </c>
      <c r="C875" t="s">
        <v>602</v>
      </c>
      <c r="D875" t="s">
        <v>1882</v>
      </c>
      <c r="E875" t="s">
        <v>1884</v>
      </c>
      <c r="G875">
        <v>0</v>
      </c>
      <c r="H875" t="s">
        <v>964</v>
      </c>
      <c r="I875">
        <v>257</v>
      </c>
      <c r="J875">
        <v>260</v>
      </c>
      <c r="K875" t="s">
        <v>1283</v>
      </c>
      <c r="L875" t="s">
        <v>965</v>
      </c>
      <c r="M875" t="s">
        <v>1885</v>
      </c>
    </row>
    <row r="876" spans="1:13" x14ac:dyDescent="0.35">
      <c r="A876">
        <v>0</v>
      </c>
      <c r="B876">
        <v>2985</v>
      </c>
      <c r="C876" t="s">
        <v>602</v>
      </c>
      <c r="D876" t="s">
        <v>1301</v>
      </c>
      <c r="E876" t="s">
        <v>1886</v>
      </c>
      <c r="F876">
        <v>7211</v>
      </c>
      <c r="I876">
        <v>257</v>
      </c>
      <c r="J876">
        <v>256</v>
      </c>
      <c r="M876" t="s">
        <v>1886</v>
      </c>
    </row>
    <row r="877" spans="1:13" x14ac:dyDescent="0.35">
      <c r="A877">
        <v>102138</v>
      </c>
      <c r="B877">
        <v>1426</v>
      </c>
      <c r="C877" t="s">
        <v>602</v>
      </c>
      <c r="D877" t="s">
        <v>1066</v>
      </c>
      <c r="E877" t="s">
        <v>1887</v>
      </c>
      <c r="F877">
        <v>4167183</v>
      </c>
      <c r="G877">
        <v>220885</v>
      </c>
      <c r="H877" t="s">
        <v>964</v>
      </c>
      <c r="I877">
        <v>257</v>
      </c>
      <c r="J877">
        <v>262</v>
      </c>
      <c r="K877" t="s">
        <v>1068</v>
      </c>
      <c r="L877" t="s">
        <v>965</v>
      </c>
      <c r="M877" t="s">
        <v>1888</v>
      </c>
    </row>
    <row r="878" spans="1:13" x14ac:dyDescent="0.35">
      <c r="A878">
        <v>104298</v>
      </c>
      <c r="B878">
        <v>1290</v>
      </c>
      <c r="C878" t="s">
        <v>602</v>
      </c>
      <c r="D878" t="s">
        <v>962</v>
      </c>
      <c r="E878" t="s">
        <v>1889</v>
      </c>
      <c r="F878">
        <v>5152</v>
      </c>
      <c r="G878">
        <v>227728</v>
      </c>
      <c r="H878" t="s">
        <v>964</v>
      </c>
      <c r="I878">
        <v>257</v>
      </c>
      <c r="J878">
        <v>258</v>
      </c>
      <c r="K878" t="s">
        <v>979</v>
      </c>
      <c r="L878" t="s">
        <v>965</v>
      </c>
      <c r="M878" t="s">
        <v>1890</v>
      </c>
    </row>
    <row r="879" spans="1:13" x14ac:dyDescent="0.35">
      <c r="A879">
        <v>104260</v>
      </c>
      <c r="B879">
        <v>2631</v>
      </c>
      <c r="C879" t="s">
        <v>602</v>
      </c>
      <c r="D879" t="s">
        <v>1891</v>
      </c>
      <c r="E879" t="s">
        <v>101</v>
      </c>
      <c r="G879">
        <v>227528</v>
      </c>
      <c r="H879" t="s">
        <v>964</v>
      </c>
      <c r="I879">
        <v>256</v>
      </c>
      <c r="J879">
        <v>259</v>
      </c>
      <c r="L879" t="s">
        <v>1581</v>
      </c>
      <c r="M879" t="s">
        <v>1892</v>
      </c>
    </row>
    <row r="880" spans="1:13" x14ac:dyDescent="0.35">
      <c r="A880">
        <v>104283</v>
      </c>
      <c r="B880">
        <v>1286</v>
      </c>
      <c r="C880" t="s">
        <v>602</v>
      </c>
      <c r="D880" t="s">
        <v>962</v>
      </c>
      <c r="E880" t="s">
        <v>1893</v>
      </c>
      <c r="F880">
        <v>5431</v>
      </c>
      <c r="G880">
        <v>227681</v>
      </c>
      <c r="H880" t="s">
        <v>964</v>
      </c>
      <c r="I880">
        <v>256</v>
      </c>
      <c r="J880">
        <v>257</v>
      </c>
      <c r="K880" t="s">
        <v>979</v>
      </c>
      <c r="L880" t="s">
        <v>965</v>
      </c>
      <c r="M880" t="s">
        <v>1894</v>
      </c>
    </row>
    <row r="881" spans="1:13" x14ac:dyDescent="0.35">
      <c r="A881">
        <v>103274</v>
      </c>
      <c r="B881">
        <v>1471</v>
      </c>
      <c r="C881" t="s">
        <v>602</v>
      </c>
      <c r="D881" t="s">
        <v>1066</v>
      </c>
      <c r="E881" t="s">
        <v>1895</v>
      </c>
      <c r="F881">
        <v>4167107</v>
      </c>
      <c r="G881">
        <v>222396</v>
      </c>
      <c r="H881" t="s">
        <v>964</v>
      </c>
      <c r="I881">
        <v>256</v>
      </c>
      <c r="J881">
        <v>261</v>
      </c>
      <c r="K881" t="s">
        <v>1068</v>
      </c>
      <c r="L881" t="s">
        <v>980</v>
      </c>
      <c r="M881" t="s">
        <v>1896</v>
      </c>
    </row>
    <row r="882" spans="1:13" x14ac:dyDescent="0.35">
      <c r="A882">
        <v>0</v>
      </c>
      <c r="B882">
        <v>2984</v>
      </c>
      <c r="C882" t="s">
        <v>602</v>
      </c>
      <c r="D882" t="s">
        <v>1301</v>
      </c>
      <c r="E882" t="s">
        <v>1897</v>
      </c>
      <c r="F882">
        <v>7210</v>
      </c>
      <c r="I882">
        <v>256</v>
      </c>
      <c r="J882">
        <v>255</v>
      </c>
      <c r="M882" t="s">
        <v>1897</v>
      </c>
    </row>
    <row r="883" spans="1:13" x14ac:dyDescent="0.35">
      <c r="A883">
        <v>0</v>
      </c>
      <c r="B883">
        <v>2983</v>
      </c>
      <c r="C883" t="s">
        <v>602</v>
      </c>
      <c r="D883" t="s">
        <v>1301</v>
      </c>
      <c r="E883" t="s">
        <v>1898</v>
      </c>
      <c r="F883">
        <v>7209</v>
      </c>
      <c r="I883">
        <v>255</v>
      </c>
      <c r="J883">
        <v>254</v>
      </c>
      <c r="M883" t="s">
        <v>1898</v>
      </c>
    </row>
    <row r="884" spans="1:13" x14ac:dyDescent="0.35">
      <c r="A884">
        <v>103182</v>
      </c>
      <c r="B884">
        <v>1435</v>
      </c>
      <c r="C884" t="s">
        <v>602</v>
      </c>
      <c r="D884" t="s">
        <v>1066</v>
      </c>
      <c r="E884" t="s">
        <v>1899</v>
      </c>
      <c r="F884">
        <v>4167172</v>
      </c>
      <c r="G884">
        <v>222208</v>
      </c>
      <c r="H884" t="s">
        <v>964</v>
      </c>
      <c r="I884">
        <v>255</v>
      </c>
      <c r="J884">
        <v>260</v>
      </c>
      <c r="K884" t="s">
        <v>1068</v>
      </c>
      <c r="L884" t="s">
        <v>965</v>
      </c>
      <c r="M884" t="s">
        <v>1900</v>
      </c>
    </row>
    <row r="885" spans="1:13" x14ac:dyDescent="0.35">
      <c r="A885">
        <v>104294</v>
      </c>
      <c r="B885">
        <v>1289</v>
      </c>
      <c r="C885" t="s">
        <v>602</v>
      </c>
      <c r="D885" t="s">
        <v>962</v>
      </c>
      <c r="E885" t="s">
        <v>1901</v>
      </c>
      <c r="F885">
        <v>5539</v>
      </c>
      <c r="G885">
        <v>227725</v>
      </c>
      <c r="H885" t="s">
        <v>964</v>
      </c>
      <c r="I885">
        <v>255</v>
      </c>
      <c r="J885">
        <v>256</v>
      </c>
      <c r="K885" t="s">
        <v>979</v>
      </c>
      <c r="L885" t="s">
        <v>965</v>
      </c>
      <c r="M885" t="s">
        <v>1902</v>
      </c>
    </row>
    <row r="886" spans="1:13" x14ac:dyDescent="0.35">
      <c r="A886">
        <v>104275</v>
      </c>
      <c r="B886">
        <v>1285</v>
      </c>
      <c r="C886" t="s">
        <v>602</v>
      </c>
      <c r="D886" t="s">
        <v>962</v>
      </c>
      <c r="E886" t="s">
        <v>1903</v>
      </c>
      <c r="F886">
        <v>5479</v>
      </c>
      <c r="G886">
        <v>227628</v>
      </c>
      <c r="H886" t="s">
        <v>964</v>
      </c>
      <c r="I886">
        <v>254</v>
      </c>
      <c r="J886">
        <v>255</v>
      </c>
      <c r="K886" t="s">
        <v>979</v>
      </c>
      <c r="L886" t="s">
        <v>965</v>
      </c>
      <c r="M886" t="s">
        <v>1904</v>
      </c>
    </row>
    <row r="887" spans="1:13" x14ac:dyDescent="0.35">
      <c r="A887">
        <v>103328</v>
      </c>
      <c r="B887">
        <v>1507</v>
      </c>
      <c r="C887" t="s">
        <v>602</v>
      </c>
      <c r="D887" t="s">
        <v>1066</v>
      </c>
      <c r="E887" t="s">
        <v>1905</v>
      </c>
      <c r="F887">
        <v>4167126</v>
      </c>
      <c r="G887">
        <v>219807</v>
      </c>
      <c r="H887" t="s">
        <v>964</v>
      </c>
      <c r="I887">
        <v>254</v>
      </c>
      <c r="J887">
        <v>259</v>
      </c>
      <c r="K887" t="s">
        <v>1068</v>
      </c>
      <c r="L887" t="s">
        <v>965</v>
      </c>
      <c r="M887" t="s">
        <v>1906</v>
      </c>
    </row>
    <row r="888" spans="1:13" x14ac:dyDescent="0.35">
      <c r="A888">
        <v>0</v>
      </c>
      <c r="B888">
        <v>2982</v>
      </c>
      <c r="C888" t="s">
        <v>602</v>
      </c>
      <c r="D888" t="s">
        <v>1301</v>
      </c>
      <c r="E888" t="s">
        <v>1907</v>
      </c>
      <c r="F888">
        <v>7208</v>
      </c>
      <c r="I888">
        <v>254</v>
      </c>
      <c r="J888">
        <v>253</v>
      </c>
      <c r="M888" t="s">
        <v>1907</v>
      </c>
    </row>
    <row r="889" spans="1:13" x14ac:dyDescent="0.35">
      <c r="A889">
        <v>0</v>
      </c>
      <c r="B889">
        <v>2981</v>
      </c>
      <c r="C889" t="s">
        <v>602</v>
      </c>
      <c r="D889" t="s">
        <v>1301</v>
      </c>
      <c r="E889" t="s">
        <v>1908</v>
      </c>
      <c r="F889">
        <v>7207</v>
      </c>
      <c r="I889">
        <v>253</v>
      </c>
      <c r="J889">
        <v>252</v>
      </c>
      <c r="M889" t="s">
        <v>1908</v>
      </c>
    </row>
    <row r="890" spans="1:13" x14ac:dyDescent="0.35">
      <c r="A890">
        <v>103269</v>
      </c>
      <c r="B890">
        <v>1467</v>
      </c>
      <c r="C890" t="s">
        <v>602</v>
      </c>
      <c r="D890" t="s">
        <v>1066</v>
      </c>
      <c r="E890" t="s">
        <v>1909</v>
      </c>
      <c r="F890">
        <v>4167092</v>
      </c>
      <c r="G890">
        <v>219694</v>
      </c>
      <c r="H890" t="s">
        <v>964</v>
      </c>
      <c r="I890">
        <v>253</v>
      </c>
      <c r="J890">
        <v>258</v>
      </c>
      <c r="K890" t="s">
        <v>1068</v>
      </c>
      <c r="L890" t="s">
        <v>965</v>
      </c>
      <c r="M890" t="s">
        <v>1910</v>
      </c>
    </row>
    <row r="891" spans="1:13" x14ac:dyDescent="0.35">
      <c r="A891">
        <v>104259</v>
      </c>
      <c r="B891">
        <v>1277</v>
      </c>
      <c r="C891" t="s">
        <v>602</v>
      </c>
      <c r="D891" t="s">
        <v>962</v>
      </c>
      <c r="E891" t="s">
        <v>1911</v>
      </c>
      <c r="F891">
        <v>5505</v>
      </c>
      <c r="G891">
        <v>227525</v>
      </c>
      <c r="H891" t="s">
        <v>964</v>
      </c>
      <c r="I891">
        <v>253</v>
      </c>
      <c r="J891">
        <v>254</v>
      </c>
      <c r="K891" t="s">
        <v>979</v>
      </c>
      <c r="L891" t="s">
        <v>965</v>
      </c>
      <c r="M891" t="s">
        <v>1912</v>
      </c>
    </row>
    <row r="892" spans="1:13" x14ac:dyDescent="0.35">
      <c r="A892">
        <v>103246</v>
      </c>
      <c r="B892">
        <v>1454</v>
      </c>
      <c r="C892" t="s">
        <v>602</v>
      </c>
      <c r="D892" t="s">
        <v>1066</v>
      </c>
      <c r="E892" t="s">
        <v>1913</v>
      </c>
      <c r="F892">
        <v>4167165</v>
      </c>
      <c r="G892">
        <v>222338</v>
      </c>
      <c r="H892" t="s">
        <v>964</v>
      </c>
      <c r="I892">
        <v>252</v>
      </c>
      <c r="J892">
        <v>257</v>
      </c>
      <c r="K892" t="s">
        <v>1068</v>
      </c>
      <c r="L892" t="s">
        <v>965</v>
      </c>
      <c r="M892" t="s">
        <v>1914</v>
      </c>
    </row>
    <row r="893" spans="1:13" x14ac:dyDescent="0.35">
      <c r="A893">
        <v>104262</v>
      </c>
      <c r="B893">
        <v>1279</v>
      </c>
      <c r="C893" t="s">
        <v>602</v>
      </c>
      <c r="D893" t="s">
        <v>962</v>
      </c>
      <c r="E893" t="s">
        <v>1915</v>
      </c>
      <c r="F893">
        <v>5656</v>
      </c>
      <c r="G893">
        <v>227532</v>
      </c>
      <c r="H893" t="s">
        <v>964</v>
      </c>
      <c r="I893">
        <v>252</v>
      </c>
      <c r="J893">
        <v>253</v>
      </c>
      <c r="K893" t="s">
        <v>979</v>
      </c>
      <c r="L893" t="s">
        <v>980</v>
      </c>
      <c r="M893" t="s">
        <v>1916</v>
      </c>
    </row>
    <row r="894" spans="1:13" x14ac:dyDescent="0.35">
      <c r="A894">
        <v>0</v>
      </c>
      <c r="B894">
        <v>2980</v>
      </c>
      <c r="C894" t="s">
        <v>602</v>
      </c>
      <c r="D894" t="s">
        <v>1301</v>
      </c>
      <c r="E894" t="s">
        <v>1917</v>
      </c>
      <c r="F894">
        <v>7206</v>
      </c>
      <c r="I894">
        <v>252</v>
      </c>
      <c r="J894">
        <v>251</v>
      </c>
      <c r="M894" t="s">
        <v>1917</v>
      </c>
    </row>
    <row r="895" spans="1:13" x14ac:dyDescent="0.35">
      <c r="A895">
        <v>103260</v>
      </c>
      <c r="B895">
        <v>1463</v>
      </c>
      <c r="C895" t="s">
        <v>602</v>
      </c>
      <c r="D895" t="s">
        <v>1066</v>
      </c>
      <c r="E895" t="s">
        <v>1918</v>
      </c>
      <c r="F895">
        <v>4167175</v>
      </c>
      <c r="G895">
        <v>23272</v>
      </c>
      <c r="H895" t="s">
        <v>964</v>
      </c>
      <c r="I895">
        <v>251</v>
      </c>
      <c r="J895">
        <v>256</v>
      </c>
      <c r="K895" t="s">
        <v>1068</v>
      </c>
      <c r="L895" t="s">
        <v>965</v>
      </c>
      <c r="M895" t="s">
        <v>1919</v>
      </c>
    </row>
    <row r="896" spans="1:13" x14ac:dyDescent="0.35">
      <c r="A896">
        <v>0</v>
      </c>
      <c r="B896">
        <v>2979</v>
      </c>
      <c r="C896" t="s">
        <v>602</v>
      </c>
      <c r="D896" t="s">
        <v>1301</v>
      </c>
      <c r="E896" t="s">
        <v>1920</v>
      </c>
      <c r="F896">
        <v>7205</v>
      </c>
      <c r="I896">
        <v>251</v>
      </c>
      <c r="J896">
        <v>250</v>
      </c>
      <c r="M896" t="s">
        <v>1920</v>
      </c>
    </row>
    <row r="897" spans="1:13" x14ac:dyDescent="0.35">
      <c r="A897">
        <v>104263</v>
      </c>
      <c r="B897">
        <v>1280</v>
      </c>
      <c r="C897" t="s">
        <v>602</v>
      </c>
      <c r="D897" t="s">
        <v>962</v>
      </c>
      <c r="E897" t="s">
        <v>1921</v>
      </c>
      <c r="F897">
        <v>5345</v>
      </c>
      <c r="G897">
        <v>227539</v>
      </c>
      <c r="H897" t="s">
        <v>964</v>
      </c>
      <c r="I897">
        <v>251</v>
      </c>
      <c r="J897">
        <v>252</v>
      </c>
      <c r="K897" t="s">
        <v>979</v>
      </c>
      <c r="L897" t="s">
        <v>965</v>
      </c>
      <c r="M897" t="s">
        <v>1922</v>
      </c>
    </row>
    <row r="898" spans="1:13" x14ac:dyDescent="0.35">
      <c r="A898">
        <v>103247</v>
      </c>
      <c r="B898">
        <v>1455</v>
      </c>
      <c r="C898" t="s">
        <v>602</v>
      </c>
      <c r="D898" t="s">
        <v>1066</v>
      </c>
      <c r="E898" t="s">
        <v>1923</v>
      </c>
      <c r="F898">
        <v>4167143</v>
      </c>
      <c r="G898">
        <v>222339</v>
      </c>
      <c r="H898" t="s">
        <v>964</v>
      </c>
      <c r="I898">
        <v>250</v>
      </c>
      <c r="J898">
        <v>255</v>
      </c>
      <c r="K898" t="s">
        <v>1068</v>
      </c>
      <c r="L898" t="s">
        <v>965</v>
      </c>
      <c r="M898" t="s">
        <v>1924</v>
      </c>
    </row>
    <row r="899" spans="1:13" x14ac:dyDescent="0.35">
      <c r="A899">
        <v>0</v>
      </c>
      <c r="B899">
        <v>2978</v>
      </c>
      <c r="C899" t="s">
        <v>602</v>
      </c>
      <c r="D899" t="s">
        <v>1301</v>
      </c>
      <c r="E899" t="s">
        <v>1925</v>
      </c>
      <c r="F899">
        <v>7204</v>
      </c>
      <c r="I899">
        <v>250</v>
      </c>
      <c r="J899">
        <v>249</v>
      </c>
      <c r="M899" t="s">
        <v>1925</v>
      </c>
    </row>
    <row r="900" spans="1:13" x14ac:dyDescent="0.35">
      <c r="A900">
        <v>104261</v>
      </c>
      <c r="B900">
        <v>1278</v>
      </c>
      <c r="C900" t="s">
        <v>602</v>
      </c>
      <c r="D900" t="s">
        <v>962</v>
      </c>
      <c r="E900" t="s">
        <v>1926</v>
      </c>
      <c r="F900">
        <v>5615</v>
      </c>
      <c r="G900">
        <v>227531</v>
      </c>
      <c r="H900" t="s">
        <v>964</v>
      </c>
      <c r="I900">
        <v>250</v>
      </c>
      <c r="J900">
        <v>251</v>
      </c>
      <c r="K900" t="s">
        <v>979</v>
      </c>
      <c r="L900" t="s">
        <v>980</v>
      </c>
      <c r="M900" t="s">
        <v>1927</v>
      </c>
    </row>
    <row r="901" spans="1:13" x14ac:dyDescent="0.35">
      <c r="A901">
        <v>101432</v>
      </c>
      <c r="B901">
        <v>1046</v>
      </c>
      <c r="C901" t="s">
        <v>602</v>
      </c>
      <c r="D901" t="s">
        <v>962</v>
      </c>
      <c r="E901" t="s">
        <v>1928</v>
      </c>
      <c r="F901">
        <v>3475</v>
      </c>
      <c r="G901">
        <v>220440</v>
      </c>
      <c r="H901" t="s">
        <v>964</v>
      </c>
      <c r="I901">
        <v>249</v>
      </c>
      <c r="J901">
        <v>250</v>
      </c>
      <c r="K901" t="s">
        <v>1051</v>
      </c>
      <c r="L901" t="s">
        <v>965</v>
      </c>
      <c r="M901" t="s">
        <v>1929</v>
      </c>
    </row>
    <row r="902" spans="1:13" x14ac:dyDescent="0.35">
      <c r="A902">
        <v>103303</v>
      </c>
      <c r="B902">
        <v>1491</v>
      </c>
      <c r="C902" t="s">
        <v>602</v>
      </c>
      <c r="D902" t="s">
        <v>1066</v>
      </c>
      <c r="E902" t="s">
        <v>1930</v>
      </c>
      <c r="F902">
        <v>4167098</v>
      </c>
      <c r="G902">
        <v>222452</v>
      </c>
      <c r="H902" t="s">
        <v>964</v>
      </c>
      <c r="I902">
        <v>249</v>
      </c>
      <c r="J902">
        <v>254</v>
      </c>
      <c r="K902" t="s">
        <v>1068</v>
      </c>
      <c r="L902" t="s">
        <v>980</v>
      </c>
      <c r="M902" t="s">
        <v>1931</v>
      </c>
    </row>
    <row r="903" spans="1:13" x14ac:dyDescent="0.35">
      <c r="A903">
        <v>0</v>
      </c>
      <c r="B903">
        <v>2977</v>
      </c>
      <c r="C903" t="s">
        <v>602</v>
      </c>
      <c r="D903" t="s">
        <v>1301</v>
      </c>
      <c r="E903" t="s">
        <v>1932</v>
      </c>
      <c r="F903">
        <v>7203</v>
      </c>
      <c r="I903">
        <v>249</v>
      </c>
      <c r="J903">
        <v>248</v>
      </c>
      <c r="M903" t="s">
        <v>1932</v>
      </c>
    </row>
    <row r="904" spans="1:13" x14ac:dyDescent="0.35">
      <c r="A904">
        <v>101496</v>
      </c>
      <c r="B904">
        <v>1094</v>
      </c>
      <c r="C904" t="s">
        <v>602</v>
      </c>
      <c r="D904" t="s">
        <v>962</v>
      </c>
      <c r="E904" t="s">
        <v>1933</v>
      </c>
      <c r="F904">
        <v>3713</v>
      </c>
      <c r="G904">
        <v>221487</v>
      </c>
      <c r="H904" t="s">
        <v>964</v>
      </c>
      <c r="I904">
        <v>248</v>
      </c>
      <c r="J904">
        <v>249</v>
      </c>
      <c r="K904" t="s">
        <v>979</v>
      </c>
      <c r="L904" t="s">
        <v>965</v>
      </c>
      <c r="M904" t="s">
        <v>1934</v>
      </c>
    </row>
    <row r="905" spans="1:13" x14ac:dyDescent="0.35">
      <c r="A905">
        <v>103290</v>
      </c>
      <c r="B905">
        <v>1479</v>
      </c>
      <c r="C905" t="s">
        <v>602</v>
      </c>
      <c r="D905" t="s">
        <v>1066</v>
      </c>
      <c r="E905" t="s">
        <v>1935</v>
      </c>
      <c r="F905">
        <v>4167114</v>
      </c>
      <c r="G905">
        <v>219347</v>
      </c>
      <c r="H905" t="s">
        <v>964</v>
      </c>
      <c r="I905">
        <v>248</v>
      </c>
      <c r="J905">
        <v>253</v>
      </c>
      <c r="K905" t="s">
        <v>1068</v>
      </c>
      <c r="L905" t="s">
        <v>965</v>
      </c>
      <c r="M905" t="s">
        <v>1936</v>
      </c>
    </row>
    <row r="906" spans="1:13" x14ac:dyDescent="0.35">
      <c r="A906">
        <v>0</v>
      </c>
      <c r="B906">
        <v>2976</v>
      </c>
      <c r="C906" t="s">
        <v>602</v>
      </c>
      <c r="D906" t="s">
        <v>1301</v>
      </c>
      <c r="E906" t="s">
        <v>1937</v>
      </c>
      <c r="F906">
        <v>7202</v>
      </c>
      <c r="I906">
        <v>248</v>
      </c>
      <c r="J906">
        <v>247</v>
      </c>
      <c r="M906" t="s">
        <v>1937</v>
      </c>
    </row>
    <row r="907" spans="1:13" x14ac:dyDescent="0.35">
      <c r="A907">
        <v>103559</v>
      </c>
      <c r="B907">
        <v>1627</v>
      </c>
      <c r="C907" t="s">
        <v>602</v>
      </c>
      <c r="D907" t="s">
        <v>1066</v>
      </c>
      <c r="E907" t="s">
        <v>1938</v>
      </c>
      <c r="F907">
        <v>4167191</v>
      </c>
      <c r="G907">
        <v>222945</v>
      </c>
      <c r="H907" t="s">
        <v>964</v>
      </c>
      <c r="I907">
        <v>247</v>
      </c>
      <c r="J907">
        <v>252</v>
      </c>
      <c r="K907" t="s">
        <v>1068</v>
      </c>
      <c r="L907" t="s">
        <v>965</v>
      </c>
      <c r="M907" t="s">
        <v>1939</v>
      </c>
    </row>
    <row r="908" spans="1:13" x14ac:dyDescent="0.35">
      <c r="A908">
        <v>0</v>
      </c>
      <c r="B908">
        <v>2975</v>
      </c>
      <c r="C908" t="s">
        <v>602</v>
      </c>
      <c r="D908" t="s">
        <v>1301</v>
      </c>
      <c r="E908" t="s">
        <v>1940</v>
      </c>
      <c r="F908">
        <v>7201</v>
      </c>
      <c r="I908">
        <v>247</v>
      </c>
      <c r="J908">
        <v>246</v>
      </c>
      <c r="M908" t="s">
        <v>1940</v>
      </c>
    </row>
    <row r="909" spans="1:13" x14ac:dyDescent="0.35">
      <c r="A909">
        <v>101549</v>
      </c>
      <c r="B909">
        <v>1142</v>
      </c>
      <c r="C909" t="s">
        <v>602</v>
      </c>
      <c r="D909" t="s">
        <v>962</v>
      </c>
      <c r="E909" t="s">
        <v>1941</v>
      </c>
      <c r="F909">
        <v>4104</v>
      </c>
      <c r="G909">
        <v>222014</v>
      </c>
      <c r="H909" t="s">
        <v>964</v>
      </c>
      <c r="I909">
        <v>247</v>
      </c>
      <c r="J909">
        <v>248</v>
      </c>
      <c r="K909" t="s">
        <v>979</v>
      </c>
      <c r="L909" t="s">
        <v>965</v>
      </c>
      <c r="M909" t="s">
        <v>1942</v>
      </c>
    </row>
    <row r="910" spans="1:13" x14ac:dyDescent="0.35">
      <c r="A910">
        <v>0</v>
      </c>
      <c r="B910">
        <v>2974</v>
      </c>
      <c r="C910" t="s">
        <v>602</v>
      </c>
      <c r="D910" t="s">
        <v>1301</v>
      </c>
      <c r="E910" t="s">
        <v>1943</v>
      </c>
      <c r="F910">
        <v>7200</v>
      </c>
      <c r="I910">
        <v>246</v>
      </c>
      <c r="J910">
        <v>245</v>
      </c>
      <c r="M910" t="s">
        <v>1943</v>
      </c>
    </row>
    <row r="911" spans="1:13" x14ac:dyDescent="0.35">
      <c r="A911">
        <v>103251</v>
      </c>
      <c r="B911">
        <v>1459</v>
      </c>
      <c r="C911" t="s">
        <v>602</v>
      </c>
      <c r="D911" t="s">
        <v>1066</v>
      </c>
      <c r="E911" t="s">
        <v>1944</v>
      </c>
      <c r="F911">
        <v>4167144</v>
      </c>
      <c r="G911">
        <v>222344</v>
      </c>
      <c r="H911" t="s">
        <v>964</v>
      </c>
      <c r="I911">
        <v>246</v>
      </c>
      <c r="J911">
        <v>251</v>
      </c>
      <c r="K911" t="s">
        <v>1068</v>
      </c>
      <c r="L911" t="s">
        <v>965</v>
      </c>
      <c r="M911" t="s">
        <v>1945</v>
      </c>
    </row>
    <row r="912" spans="1:13" x14ac:dyDescent="0.35">
      <c r="A912">
        <v>101498</v>
      </c>
      <c r="B912">
        <v>1096</v>
      </c>
      <c r="C912" t="s">
        <v>602</v>
      </c>
      <c r="D912" t="s">
        <v>962</v>
      </c>
      <c r="E912" t="s">
        <v>1946</v>
      </c>
      <c r="F912">
        <v>3717</v>
      </c>
      <c r="G912">
        <v>221510</v>
      </c>
      <c r="H912" t="s">
        <v>964</v>
      </c>
      <c r="I912">
        <v>246</v>
      </c>
      <c r="J912">
        <v>247</v>
      </c>
      <c r="K912" t="s">
        <v>1051</v>
      </c>
      <c r="L912" t="s">
        <v>965</v>
      </c>
      <c r="M912" t="s">
        <v>1947</v>
      </c>
    </row>
    <row r="913" spans="1:13" x14ac:dyDescent="0.35">
      <c r="A913">
        <v>103181</v>
      </c>
      <c r="B913">
        <v>1434</v>
      </c>
      <c r="C913" t="s">
        <v>602</v>
      </c>
      <c r="D913" t="s">
        <v>1066</v>
      </c>
      <c r="E913" t="s">
        <v>1948</v>
      </c>
      <c r="F913">
        <v>4167174</v>
      </c>
      <c r="G913">
        <v>222207</v>
      </c>
      <c r="H913" t="s">
        <v>964</v>
      </c>
      <c r="I913">
        <v>245</v>
      </c>
      <c r="J913">
        <v>250</v>
      </c>
      <c r="K913" t="s">
        <v>1068</v>
      </c>
      <c r="L913" t="s">
        <v>980</v>
      </c>
      <c r="M913" t="s">
        <v>1949</v>
      </c>
    </row>
    <row r="914" spans="1:13" x14ac:dyDescent="0.35">
      <c r="A914">
        <v>101428</v>
      </c>
      <c r="B914">
        <v>1042</v>
      </c>
      <c r="C914" t="s">
        <v>602</v>
      </c>
      <c r="D914" t="s">
        <v>962</v>
      </c>
      <c r="E914" t="s">
        <v>1950</v>
      </c>
      <c r="F914">
        <v>3419</v>
      </c>
      <c r="G914">
        <v>219753</v>
      </c>
      <c r="H914" t="s">
        <v>964</v>
      </c>
      <c r="I914">
        <v>245</v>
      </c>
      <c r="J914">
        <v>246</v>
      </c>
      <c r="K914" t="s">
        <v>979</v>
      </c>
      <c r="L914" t="s">
        <v>965</v>
      </c>
      <c r="M914" t="s">
        <v>1951</v>
      </c>
    </row>
    <row r="915" spans="1:13" x14ac:dyDescent="0.35">
      <c r="A915">
        <v>0</v>
      </c>
      <c r="B915">
        <v>2973</v>
      </c>
      <c r="C915" t="s">
        <v>602</v>
      </c>
      <c r="D915" t="s">
        <v>1301</v>
      </c>
      <c r="E915" t="s">
        <v>1952</v>
      </c>
      <c r="F915">
        <v>7199</v>
      </c>
      <c r="I915">
        <v>245</v>
      </c>
      <c r="J915">
        <v>244</v>
      </c>
      <c r="M915" t="s">
        <v>1952</v>
      </c>
    </row>
    <row r="916" spans="1:13" x14ac:dyDescent="0.35">
      <c r="A916">
        <v>0</v>
      </c>
      <c r="B916">
        <v>2972</v>
      </c>
      <c r="C916" t="s">
        <v>602</v>
      </c>
      <c r="D916" t="s">
        <v>1301</v>
      </c>
      <c r="E916" t="s">
        <v>1953</v>
      </c>
      <c r="F916">
        <v>7198</v>
      </c>
      <c r="I916">
        <v>244</v>
      </c>
      <c r="J916">
        <v>243</v>
      </c>
      <c r="M916" t="s">
        <v>1953</v>
      </c>
    </row>
    <row r="917" spans="1:13" x14ac:dyDescent="0.35">
      <c r="A917">
        <v>101553</v>
      </c>
      <c r="B917">
        <v>1146</v>
      </c>
      <c r="C917" t="s">
        <v>602</v>
      </c>
      <c r="D917" t="s">
        <v>962</v>
      </c>
      <c r="E917" t="s">
        <v>1954</v>
      </c>
      <c r="F917">
        <v>3953</v>
      </c>
      <c r="G917">
        <v>222069</v>
      </c>
      <c r="H917" t="s">
        <v>964</v>
      </c>
      <c r="I917">
        <v>244</v>
      </c>
      <c r="J917">
        <v>245</v>
      </c>
      <c r="K917" t="s">
        <v>979</v>
      </c>
      <c r="L917" t="s">
        <v>965</v>
      </c>
      <c r="M917" t="s">
        <v>1955</v>
      </c>
    </row>
    <row r="918" spans="1:13" x14ac:dyDescent="0.35">
      <c r="A918">
        <v>103248</v>
      </c>
      <c r="B918">
        <v>1456</v>
      </c>
      <c r="C918" t="s">
        <v>602</v>
      </c>
      <c r="D918" t="s">
        <v>1066</v>
      </c>
      <c r="E918" t="s">
        <v>1956</v>
      </c>
      <c r="F918">
        <v>4167131</v>
      </c>
      <c r="G918">
        <v>219128</v>
      </c>
      <c r="H918" t="s">
        <v>964</v>
      </c>
      <c r="I918">
        <v>244</v>
      </c>
      <c r="J918">
        <v>249</v>
      </c>
      <c r="K918" t="s">
        <v>1068</v>
      </c>
      <c r="L918" t="s">
        <v>965</v>
      </c>
      <c r="M918" t="s">
        <v>1957</v>
      </c>
    </row>
    <row r="919" spans="1:13" x14ac:dyDescent="0.35">
      <c r="A919">
        <v>103272</v>
      </c>
      <c r="B919">
        <v>1469</v>
      </c>
      <c r="C919" t="s">
        <v>602</v>
      </c>
      <c r="D919" t="s">
        <v>1066</v>
      </c>
      <c r="E919" t="s">
        <v>1958</v>
      </c>
      <c r="F919">
        <v>4167090</v>
      </c>
      <c r="G919">
        <v>219409</v>
      </c>
      <c r="H919" t="s">
        <v>964</v>
      </c>
      <c r="I919">
        <v>243</v>
      </c>
      <c r="J919">
        <v>248</v>
      </c>
      <c r="K919" t="s">
        <v>1068</v>
      </c>
      <c r="L919" t="s">
        <v>965</v>
      </c>
      <c r="M919" t="s">
        <v>1959</v>
      </c>
    </row>
    <row r="920" spans="1:13" x14ac:dyDescent="0.35">
      <c r="A920">
        <v>104224</v>
      </c>
      <c r="B920">
        <v>1266</v>
      </c>
      <c r="C920" t="s">
        <v>602</v>
      </c>
      <c r="D920" t="s">
        <v>962</v>
      </c>
      <c r="E920" t="s">
        <v>1960</v>
      </c>
      <c r="F920">
        <v>5318</v>
      </c>
      <c r="G920">
        <v>227249</v>
      </c>
      <c r="H920" t="s">
        <v>964</v>
      </c>
      <c r="I920">
        <v>243</v>
      </c>
      <c r="J920">
        <v>244</v>
      </c>
      <c r="K920" t="s">
        <v>979</v>
      </c>
      <c r="L920" t="s">
        <v>1581</v>
      </c>
      <c r="M920" t="s">
        <v>1961</v>
      </c>
    </row>
    <row r="921" spans="1:13" x14ac:dyDescent="0.35">
      <c r="A921">
        <v>101666</v>
      </c>
      <c r="B921">
        <v>1347</v>
      </c>
      <c r="C921" t="s">
        <v>602</v>
      </c>
      <c r="D921" t="s">
        <v>1336</v>
      </c>
      <c r="E921" t="s">
        <v>1962</v>
      </c>
      <c r="F921">
        <v>132</v>
      </c>
      <c r="G921">
        <v>1566</v>
      </c>
      <c r="H921" t="s">
        <v>964</v>
      </c>
      <c r="I921">
        <v>243</v>
      </c>
      <c r="J921">
        <v>246</v>
      </c>
      <c r="L921" t="s">
        <v>965</v>
      </c>
      <c r="M921" t="s">
        <v>1963</v>
      </c>
    </row>
    <row r="922" spans="1:13" x14ac:dyDescent="0.35">
      <c r="A922">
        <v>0</v>
      </c>
      <c r="B922">
        <v>2971</v>
      </c>
      <c r="C922" t="s">
        <v>602</v>
      </c>
      <c r="D922" t="s">
        <v>1301</v>
      </c>
      <c r="E922" t="s">
        <v>1964</v>
      </c>
      <c r="F922">
        <v>7197</v>
      </c>
      <c r="I922">
        <v>243</v>
      </c>
      <c r="J922">
        <v>242</v>
      </c>
      <c r="M922" t="s">
        <v>1964</v>
      </c>
    </row>
    <row r="923" spans="1:13" x14ac:dyDescent="0.35">
      <c r="A923">
        <v>0</v>
      </c>
      <c r="B923">
        <v>2970</v>
      </c>
      <c r="C923" t="s">
        <v>602</v>
      </c>
      <c r="D923" t="s">
        <v>1301</v>
      </c>
      <c r="E923" t="s">
        <v>1965</v>
      </c>
      <c r="F923">
        <v>7196</v>
      </c>
      <c r="I923">
        <v>242</v>
      </c>
      <c r="J923">
        <v>241</v>
      </c>
      <c r="M923" t="s">
        <v>1965</v>
      </c>
    </row>
    <row r="924" spans="1:13" x14ac:dyDescent="0.35">
      <c r="A924">
        <v>103245</v>
      </c>
      <c r="B924">
        <v>1453</v>
      </c>
      <c r="C924" t="s">
        <v>602</v>
      </c>
      <c r="D924" t="s">
        <v>1066</v>
      </c>
      <c r="E924" t="s">
        <v>1966</v>
      </c>
      <c r="F924">
        <v>4167146</v>
      </c>
      <c r="G924">
        <v>219349</v>
      </c>
      <c r="H924" t="s">
        <v>964</v>
      </c>
      <c r="I924">
        <v>242</v>
      </c>
      <c r="J924">
        <v>247</v>
      </c>
      <c r="K924" t="s">
        <v>1068</v>
      </c>
      <c r="L924" t="s">
        <v>965</v>
      </c>
      <c r="M924" t="s">
        <v>1967</v>
      </c>
    </row>
    <row r="925" spans="1:13" x14ac:dyDescent="0.35">
      <c r="A925">
        <v>101053</v>
      </c>
      <c r="B925">
        <v>1842</v>
      </c>
      <c r="C925" t="s">
        <v>602</v>
      </c>
      <c r="D925" t="s">
        <v>1968</v>
      </c>
      <c r="E925" t="s">
        <v>1969</v>
      </c>
      <c r="G925">
        <v>218904</v>
      </c>
      <c r="H925" t="s">
        <v>964</v>
      </c>
      <c r="I925">
        <v>242</v>
      </c>
      <c r="J925">
        <v>245</v>
      </c>
      <c r="L925" t="s">
        <v>965</v>
      </c>
      <c r="M925" t="s">
        <v>1970</v>
      </c>
    </row>
    <row r="926" spans="1:13" x14ac:dyDescent="0.35">
      <c r="A926">
        <v>101365</v>
      </c>
      <c r="B926">
        <v>992</v>
      </c>
      <c r="C926" t="s">
        <v>602</v>
      </c>
      <c r="D926" t="s">
        <v>962</v>
      </c>
      <c r="E926" t="s">
        <v>1971</v>
      </c>
      <c r="F926">
        <v>3489</v>
      </c>
      <c r="G926">
        <v>219797</v>
      </c>
      <c r="H926" t="s">
        <v>964</v>
      </c>
      <c r="I926">
        <v>242</v>
      </c>
      <c r="J926">
        <v>243</v>
      </c>
      <c r="K926" t="s">
        <v>979</v>
      </c>
      <c r="L926" t="s">
        <v>980</v>
      </c>
      <c r="M926" t="s">
        <v>1972</v>
      </c>
    </row>
    <row r="927" spans="1:13" x14ac:dyDescent="0.35">
      <c r="A927">
        <v>101055</v>
      </c>
      <c r="B927">
        <v>1844</v>
      </c>
      <c r="C927" t="s">
        <v>602</v>
      </c>
      <c r="D927" t="s">
        <v>1968</v>
      </c>
      <c r="E927" t="s">
        <v>1973</v>
      </c>
      <c r="G927">
        <v>23110</v>
      </c>
      <c r="H927" t="s">
        <v>964</v>
      </c>
      <c r="I927">
        <v>241</v>
      </c>
      <c r="J927">
        <v>244</v>
      </c>
      <c r="L927" t="s">
        <v>965</v>
      </c>
      <c r="M927" t="s">
        <v>1974</v>
      </c>
    </row>
    <row r="928" spans="1:13" x14ac:dyDescent="0.35">
      <c r="A928">
        <v>101576</v>
      </c>
      <c r="B928">
        <v>1169</v>
      </c>
      <c r="C928" t="s">
        <v>602</v>
      </c>
      <c r="D928" t="s">
        <v>962</v>
      </c>
      <c r="E928" t="s">
        <v>1975</v>
      </c>
      <c r="F928">
        <v>4108</v>
      </c>
      <c r="G928">
        <v>222405</v>
      </c>
      <c r="H928" t="s">
        <v>964</v>
      </c>
      <c r="I928">
        <v>241</v>
      </c>
      <c r="J928">
        <v>242</v>
      </c>
      <c r="K928" t="s">
        <v>979</v>
      </c>
      <c r="L928" t="s">
        <v>980</v>
      </c>
      <c r="M928" t="s">
        <v>1976</v>
      </c>
    </row>
    <row r="929" spans="1:13" x14ac:dyDescent="0.35">
      <c r="A929">
        <v>103296</v>
      </c>
      <c r="B929">
        <v>1484</v>
      </c>
      <c r="C929" t="s">
        <v>602</v>
      </c>
      <c r="D929" t="s">
        <v>1066</v>
      </c>
      <c r="E929" t="s">
        <v>1977</v>
      </c>
      <c r="F929">
        <v>4167088</v>
      </c>
      <c r="G929">
        <v>222466</v>
      </c>
      <c r="H929" t="s">
        <v>964</v>
      </c>
      <c r="I929">
        <v>241</v>
      </c>
      <c r="J929">
        <v>246</v>
      </c>
      <c r="K929" t="s">
        <v>1068</v>
      </c>
      <c r="L929" t="s">
        <v>965</v>
      </c>
      <c r="M929" t="s">
        <v>1978</v>
      </c>
    </row>
    <row r="930" spans="1:13" x14ac:dyDescent="0.35">
      <c r="A930">
        <v>0</v>
      </c>
      <c r="B930">
        <v>2969</v>
      </c>
      <c r="C930" t="s">
        <v>602</v>
      </c>
      <c r="D930" t="s">
        <v>1301</v>
      </c>
      <c r="E930" t="s">
        <v>1979</v>
      </c>
      <c r="F930">
        <v>7195</v>
      </c>
      <c r="I930">
        <v>241</v>
      </c>
      <c r="J930">
        <v>240</v>
      </c>
      <c r="M930" t="s">
        <v>1979</v>
      </c>
    </row>
    <row r="931" spans="1:13" x14ac:dyDescent="0.35">
      <c r="A931">
        <v>101381</v>
      </c>
      <c r="B931">
        <v>1006</v>
      </c>
      <c r="C931" t="s">
        <v>602</v>
      </c>
      <c r="D931" t="s">
        <v>962</v>
      </c>
      <c r="E931" t="s">
        <v>1980</v>
      </c>
      <c r="F931">
        <v>3486</v>
      </c>
      <c r="G931">
        <v>219790</v>
      </c>
      <c r="H931" t="s">
        <v>964</v>
      </c>
      <c r="I931">
        <v>240</v>
      </c>
      <c r="J931">
        <v>241</v>
      </c>
      <c r="K931" t="s">
        <v>979</v>
      </c>
      <c r="L931" t="s">
        <v>980</v>
      </c>
      <c r="M931" t="s">
        <v>1981</v>
      </c>
    </row>
    <row r="932" spans="1:13" x14ac:dyDescent="0.35">
      <c r="A932">
        <v>0</v>
      </c>
      <c r="B932">
        <v>2968</v>
      </c>
      <c r="C932" t="s">
        <v>602</v>
      </c>
      <c r="D932" t="s">
        <v>1301</v>
      </c>
      <c r="E932" t="s">
        <v>1982</v>
      </c>
      <c r="F932">
        <v>7194</v>
      </c>
      <c r="I932">
        <v>240</v>
      </c>
      <c r="J932">
        <v>239</v>
      </c>
      <c r="M932" t="s">
        <v>1982</v>
      </c>
    </row>
    <row r="933" spans="1:13" x14ac:dyDescent="0.35">
      <c r="A933">
        <v>103239</v>
      </c>
      <c r="B933">
        <v>1447</v>
      </c>
      <c r="C933" t="s">
        <v>602</v>
      </c>
      <c r="D933" t="s">
        <v>1066</v>
      </c>
      <c r="E933" t="s">
        <v>1983</v>
      </c>
      <c r="F933">
        <v>4167154</v>
      </c>
      <c r="G933">
        <v>222329</v>
      </c>
      <c r="H933" t="s">
        <v>964</v>
      </c>
      <c r="I933">
        <v>240</v>
      </c>
      <c r="J933">
        <v>245</v>
      </c>
      <c r="K933" t="s">
        <v>1068</v>
      </c>
      <c r="L933" t="s">
        <v>1581</v>
      </c>
      <c r="M933" t="s">
        <v>1984</v>
      </c>
    </row>
    <row r="934" spans="1:13" x14ac:dyDescent="0.35">
      <c r="A934">
        <v>0</v>
      </c>
      <c r="B934">
        <v>3466</v>
      </c>
      <c r="C934" t="s">
        <v>602</v>
      </c>
      <c r="D934" t="s">
        <v>1243</v>
      </c>
      <c r="E934" t="s">
        <v>1985</v>
      </c>
      <c r="F934">
        <v>62</v>
      </c>
      <c r="G934">
        <v>228709</v>
      </c>
      <c r="H934" t="s">
        <v>964</v>
      </c>
      <c r="I934">
        <v>240</v>
      </c>
      <c r="J934">
        <v>243</v>
      </c>
      <c r="K934" t="s">
        <v>1312</v>
      </c>
    </row>
    <row r="935" spans="1:13" x14ac:dyDescent="0.35">
      <c r="A935">
        <v>101537</v>
      </c>
      <c r="B935">
        <v>1131</v>
      </c>
      <c r="C935" t="s">
        <v>602</v>
      </c>
      <c r="D935" t="s">
        <v>962</v>
      </c>
      <c r="E935" t="s">
        <v>1986</v>
      </c>
      <c r="F935">
        <v>3797</v>
      </c>
      <c r="G935">
        <v>221895</v>
      </c>
      <c r="H935" t="s">
        <v>964</v>
      </c>
      <c r="I935">
        <v>239</v>
      </c>
      <c r="J935">
        <v>240</v>
      </c>
      <c r="K935" t="s">
        <v>1051</v>
      </c>
      <c r="L935" t="s">
        <v>965</v>
      </c>
      <c r="M935" t="s">
        <v>1987</v>
      </c>
    </row>
    <row r="936" spans="1:13" x14ac:dyDescent="0.35">
      <c r="A936">
        <v>0</v>
      </c>
      <c r="B936">
        <v>2967</v>
      </c>
      <c r="C936" t="s">
        <v>602</v>
      </c>
      <c r="D936" t="s">
        <v>1301</v>
      </c>
      <c r="E936" t="s">
        <v>1988</v>
      </c>
      <c r="F936">
        <v>7193</v>
      </c>
      <c r="I936">
        <v>239</v>
      </c>
      <c r="J936">
        <v>238</v>
      </c>
      <c r="M936" t="s">
        <v>1988</v>
      </c>
    </row>
    <row r="937" spans="1:13" x14ac:dyDescent="0.35">
      <c r="A937">
        <v>103308</v>
      </c>
      <c r="B937">
        <v>1496</v>
      </c>
      <c r="C937" t="s">
        <v>602</v>
      </c>
      <c r="D937" t="s">
        <v>1066</v>
      </c>
      <c r="E937" t="s">
        <v>1989</v>
      </c>
      <c r="F937">
        <v>4167129</v>
      </c>
      <c r="G937">
        <v>222462</v>
      </c>
      <c r="H937" t="s">
        <v>964</v>
      </c>
      <c r="I937">
        <v>239</v>
      </c>
      <c r="J937">
        <v>244</v>
      </c>
      <c r="K937" t="s">
        <v>1068</v>
      </c>
      <c r="L937" t="s">
        <v>965</v>
      </c>
      <c r="M937" t="s">
        <v>1990</v>
      </c>
    </row>
    <row r="938" spans="1:13" x14ac:dyDescent="0.35">
      <c r="A938">
        <v>103707</v>
      </c>
      <c r="B938">
        <v>1210</v>
      </c>
      <c r="C938" t="s">
        <v>602</v>
      </c>
      <c r="D938" t="s">
        <v>962</v>
      </c>
      <c r="E938" t="s">
        <v>1991</v>
      </c>
      <c r="F938">
        <v>4792</v>
      </c>
      <c r="G938">
        <v>223211</v>
      </c>
      <c r="H938" t="s">
        <v>964</v>
      </c>
      <c r="I938">
        <v>238</v>
      </c>
      <c r="J938">
        <v>239</v>
      </c>
      <c r="K938" t="s">
        <v>979</v>
      </c>
      <c r="L938" t="s">
        <v>980</v>
      </c>
      <c r="M938" t="s">
        <v>1992</v>
      </c>
    </row>
    <row r="939" spans="1:13" x14ac:dyDescent="0.35">
      <c r="A939">
        <v>0</v>
      </c>
      <c r="B939">
        <v>2966</v>
      </c>
      <c r="C939" t="s">
        <v>602</v>
      </c>
      <c r="D939" t="s">
        <v>1301</v>
      </c>
      <c r="E939" t="s">
        <v>1993</v>
      </c>
      <c r="F939">
        <v>7192</v>
      </c>
      <c r="I939">
        <v>238</v>
      </c>
      <c r="J939">
        <v>237</v>
      </c>
      <c r="M939" t="s">
        <v>1993</v>
      </c>
    </row>
    <row r="940" spans="1:13" x14ac:dyDescent="0.35">
      <c r="A940">
        <v>103250</v>
      </c>
      <c r="B940">
        <v>1458</v>
      </c>
      <c r="C940" t="s">
        <v>602</v>
      </c>
      <c r="D940" t="s">
        <v>1066</v>
      </c>
      <c r="E940" t="s">
        <v>1994</v>
      </c>
      <c r="F940">
        <v>4167151</v>
      </c>
      <c r="G940">
        <v>222345</v>
      </c>
      <c r="H940" t="s">
        <v>964</v>
      </c>
      <c r="I940">
        <v>238</v>
      </c>
      <c r="J940">
        <v>243</v>
      </c>
      <c r="K940" t="s">
        <v>1068</v>
      </c>
      <c r="L940" t="s">
        <v>965</v>
      </c>
      <c r="M940" t="s">
        <v>1995</v>
      </c>
    </row>
    <row r="941" spans="1:13" x14ac:dyDescent="0.35">
      <c r="A941">
        <v>103695</v>
      </c>
      <c r="B941">
        <v>1206</v>
      </c>
      <c r="C941" t="s">
        <v>602</v>
      </c>
      <c r="D941" t="s">
        <v>962</v>
      </c>
      <c r="E941" t="s">
        <v>1996</v>
      </c>
      <c r="F941">
        <v>4639</v>
      </c>
      <c r="G941">
        <v>223184</v>
      </c>
      <c r="H941" t="s">
        <v>964</v>
      </c>
      <c r="I941">
        <v>237</v>
      </c>
      <c r="J941">
        <v>238</v>
      </c>
      <c r="K941" t="s">
        <v>979</v>
      </c>
      <c r="L941" t="s">
        <v>980</v>
      </c>
      <c r="M941" t="s">
        <v>1997</v>
      </c>
    </row>
    <row r="942" spans="1:13" x14ac:dyDescent="0.35">
      <c r="A942">
        <v>0</v>
      </c>
      <c r="B942">
        <v>2965</v>
      </c>
      <c r="C942" t="s">
        <v>602</v>
      </c>
      <c r="D942" t="s">
        <v>1301</v>
      </c>
      <c r="E942" t="s">
        <v>1998</v>
      </c>
      <c r="F942">
        <v>7191</v>
      </c>
      <c r="I942">
        <v>237</v>
      </c>
      <c r="J942">
        <v>236</v>
      </c>
      <c r="M942" t="s">
        <v>1998</v>
      </c>
    </row>
    <row r="943" spans="1:13" x14ac:dyDescent="0.35">
      <c r="A943">
        <v>103973</v>
      </c>
      <c r="B943">
        <v>1671</v>
      </c>
      <c r="C943" t="s">
        <v>602</v>
      </c>
      <c r="D943" t="s">
        <v>1066</v>
      </c>
      <c r="E943" t="s">
        <v>1999</v>
      </c>
      <c r="F943">
        <v>4167298</v>
      </c>
      <c r="G943">
        <v>225454</v>
      </c>
      <c r="H943" t="s">
        <v>964</v>
      </c>
      <c r="I943">
        <v>237</v>
      </c>
      <c r="J943">
        <v>242</v>
      </c>
      <c r="K943" t="s">
        <v>1068</v>
      </c>
      <c r="L943" t="s">
        <v>965</v>
      </c>
      <c r="M943" t="s">
        <v>2000</v>
      </c>
    </row>
    <row r="944" spans="1:13" x14ac:dyDescent="0.35">
      <c r="A944">
        <v>101516</v>
      </c>
      <c r="B944">
        <v>1111</v>
      </c>
      <c r="C944" t="s">
        <v>602</v>
      </c>
      <c r="D944" t="s">
        <v>962</v>
      </c>
      <c r="E944" t="s">
        <v>2001</v>
      </c>
      <c r="F944">
        <v>3748</v>
      </c>
      <c r="G944">
        <v>221718</v>
      </c>
      <c r="H944" t="s">
        <v>964</v>
      </c>
      <c r="I944">
        <v>236</v>
      </c>
      <c r="J944">
        <v>237</v>
      </c>
      <c r="K944" t="s">
        <v>1051</v>
      </c>
      <c r="L944" t="s">
        <v>965</v>
      </c>
      <c r="M944" t="s">
        <v>2002</v>
      </c>
    </row>
    <row r="945" spans="1:13" x14ac:dyDescent="0.35">
      <c r="A945">
        <v>103842</v>
      </c>
      <c r="B945">
        <v>1758</v>
      </c>
      <c r="C945" t="s">
        <v>602</v>
      </c>
      <c r="D945" t="s">
        <v>2003</v>
      </c>
      <c r="E945" t="s">
        <v>2004</v>
      </c>
      <c r="F945">
        <v>2095</v>
      </c>
      <c r="G945">
        <v>225247</v>
      </c>
      <c r="H945" t="s">
        <v>964</v>
      </c>
      <c r="I945">
        <v>236</v>
      </c>
      <c r="J945">
        <v>239</v>
      </c>
      <c r="K945" t="s">
        <v>2005</v>
      </c>
      <c r="L945" t="s">
        <v>1581</v>
      </c>
      <c r="M945" t="s">
        <v>2006</v>
      </c>
    </row>
    <row r="946" spans="1:13" x14ac:dyDescent="0.35">
      <c r="A946">
        <v>0</v>
      </c>
      <c r="B946">
        <v>2964</v>
      </c>
      <c r="C946" t="s">
        <v>602</v>
      </c>
      <c r="D946" t="s">
        <v>1301</v>
      </c>
      <c r="E946" t="s">
        <v>2007</v>
      </c>
      <c r="F946">
        <v>7190</v>
      </c>
      <c r="I946">
        <v>236</v>
      </c>
      <c r="J946">
        <v>235</v>
      </c>
      <c r="M946" t="s">
        <v>2007</v>
      </c>
    </row>
    <row r="947" spans="1:13" x14ac:dyDescent="0.35">
      <c r="A947">
        <v>103417</v>
      </c>
      <c r="B947">
        <v>1705</v>
      </c>
      <c r="C947" t="s">
        <v>602</v>
      </c>
      <c r="D947" t="s">
        <v>1066</v>
      </c>
      <c r="E947" t="s">
        <v>2008</v>
      </c>
      <c r="F947">
        <v>4167102</v>
      </c>
      <c r="G947">
        <v>222728</v>
      </c>
      <c r="H947" t="s">
        <v>964</v>
      </c>
      <c r="I947">
        <v>236</v>
      </c>
      <c r="J947">
        <v>241</v>
      </c>
      <c r="K947" t="s">
        <v>1068</v>
      </c>
      <c r="L947" t="s">
        <v>980</v>
      </c>
      <c r="M947" t="s">
        <v>2009</v>
      </c>
    </row>
    <row r="948" spans="1:13" x14ac:dyDescent="0.35">
      <c r="A948">
        <v>103838</v>
      </c>
      <c r="B948">
        <v>1754</v>
      </c>
      <c r="C948" t="s">
        <v>602</v>
      </c>
      <c r="D948" t="s">
        <v>2003</v>
      </c>
      <c r="E948" t="s">
        <v>2010</v>
      </c>
      <c r="F948">
        <v>2101</v>
      </c>
      <c r="G948">
        <v>225298</v>
      </c>
      <c r="H948" t="s">
        <v>964</v>
      </c>
      <c r="I948">
        <v>235</v>
      </c>
      <c r="J948">
        <v>238</v>
      </c>
      <c r="K948" t="s">
        <v>2005</v>
      </c>
      <c r="L948" t="s">
        <v>1581</v>
      </c>
      <c r="M948" t="s">
        <v>2011</v>
      </c>
    </row>
    <row r="949" spans="1:13" x14ac:dyDescent="0.35">
      <c r="A949">
        <v>101348</v>
      </c>
      <c r="B949">
        <v>979</v>
      </c>
      <c r="C949" t="s">
        <v>602</v>
      </c>
      <c r="D949" t="s">
        <v>962</v>
      </c>
      <c r="E949" t="s">
        <v>2012</v>
      </c>
      <c r="F949">
        <v>3435</v>
      </c>
      <c r="G949">
        <v>219752</v>
      </c>
      <c r="H949" t="s">
        <v>964</v>
      </c>
      <c r="I949">
        <v>235</v>
      </c>
      <c r="J949">
        <v>236</v>
      </c>
      <c r="K949" t="s">
        <v>979</v>
      </c>
      <c r="L949" t="s">
        <v>965</v>
      </c>
      <c r="M949" t="s">
        <v>2013</v>
      </c>
    </row>
    <row r="950" spans="1:13" x14ac:dyDescent="0.35">
      <c r="A950">
        <v>0</v>
      </c>
      <c r="B950">
        <v>2963</v>
      </c>
      <c r="C950" t="s">
        <v>602</v>
      </c>
      <c r="D950" t="s">
        <v>1301</v>
      </c>
      <c r="E950" t="s">
        <v>2014</v>
      </c>
      <c r="F950">
        <v>7189</v>
      </c>
      <c r="I950">
        <v>235</v>
      </c>
      <c r="J950">
        <v>234</v>
      </c>
      <c r="M950" t="s">
        <v>2014</v>
      </c>
    </row>
    <row r="951" spans="1:13" x14ac:dyDescent="0.35">
      <c r="A951">
        <v>103325</v>
      </c>
      <c r="B951">
        <v>1504</v>
      </c>
      <c r="C951" t="s">
        <v>602</v>
      </c>
      <c r="D951" t="s">
        <v>1066</v>
      </c>
      <c r="E951" t="s">
        <v>2015</v>
      </c>
      <c r="F951">
        <v>4167099</v>
      </c>
      <c r="G951">
        <v>218467</v>
      </c>
      <c r="H951" t="s">
        <v>964</v>
      </c>
      <c r="I951">
        <v>235</v>
      </c>
      <c r="J951">
        <v>240</v>
      </c>
      <c r="K951" t="s">
        <v>1068</v>
      </c>
      <c r="L951" t="s">
        <v>965</v>
      </c>
      <c r="M951" t="s">
        <v>2016</v>
      </c>
    </row>
    <row r="952" spans="1:13" x14ac:dyDescent="0.35">
      <c r="A952">
        <v>103739</v>
      </c>
      <c r="B952">
        <v>1640</v>
      </c>
      <c r="C952" t="s">
        <v>602</v>
      </c>
      <c r="D952" t="s">
        <v>1066</v>
      </c>
      <c r="E952" t="s">
        <v>2017</v>
      </c>
      <c r="F952">
        <v>4167218</v>
      </c>
      <c r="G952">
        <v>223263</v>
      </c>
      <c r="H952" t="s">
        <v>964</v>
      </c>
      <c r="I952">
        <v>234</v>
      </c>
      <c r="J952">
        <v>239</v>
      </c>
      <c r="K952" t="s">
        <v>1068</v>
      </c>
      <c r="L952" t="s">
        <v>965</v>
      </c>
      <c r="M952" t="s">
        <v>2018</v>
      </c>
    </row>
    <row r="953" spans="1:13" x14ac:dyDescent="0.35">
      <c r="A953">
        <v>0</v>
      </c>
      <c r="B953">
        <v>2962</v>
      </c>
      <c r="C953" t="s">
        <v>602</v>
      </c>
      <c r="D953" t="s">
        <v>1301</v>
      </c>
      <c r="E953" t="s">
        <v>2019</v>
      </c>
      <c r="F953">
        <v>7188</v>
      </c>
      <c r="I953">
        <v>234</v>
      </c>
      <c r="J953">
        <v>233</v>
      </c>
      <c r="M953" t="s">
        <v>2019</v>
      </c>
    </row>
    <row r="954" spans="1:13" x14ac:dyDescent="0.35">
      <c r="A954">
        <v>103839</v>
      </c>
      <c r="B954">
        <v>1755</v>
      </c>
      <c r="C954" t="s">
        <v>602</v>
      </c>
      <c r="D954" t="s">
        <v>2003</v>
      </c>
      <c r="E954" t="s">
        <v>2020</v>
      </c>
      <c r="F954">
        <v>2104</v>
      </c>
      <c r="G954">
        <v>225245</v>
      </c>
      <c r="H954" t="s">
        <v>964</v>
      </c>
      <c r="I954">
        <v>234</v>
      </c>
      <c r="J954">
        <v>237</v>
      </c>
      <c r="K954" t="s">
        <v>1799</v>
      </c>
      <c r="L954" t="s">
        <v>1581</v>
      </c>
      <c r="M954" t="s">
        <v>2021</v>
      </c>
    </row>
    <row r="955" spans="1:13" x14ac:dyDescent="0.35">
      <c r="A955">
        <v>101561</v>
      </c>
      <c r="B955">
        <v>1154</v>
      </c>
      <c r="C955" t="s">
        <v>602</v>
      </c>
      <c r="D955" t="s">
        <v>962</v>
      </c>
      <c r="E955" t="s">
        <v>2022</v>
      </c>
      <c r="F955">
        <v>4186</v>
      </c>
      <c r="G955">
        <v>222120</v>
      </c>
      <c r="H955" t="s">
        <v>964</v>
      </c>
      <c r="I955">
        <v>234</v>
      </c>
      <c r="J955">
        <v>235</v>
      </c>
      <c r="K955" t="s">
        <v>979</v>
      </c>
      <c r="L955" t="s">
        <v>965</v>
      </c>
      <c r="M955" t="s">
        <v>2023</v>
      </c>
    </row>
    <row r="956" spans="1:13" x14ac:dyDescent="0.35">
      <c r="A956">
        <v>103562</v>
      </c>
      <c r="B956">
        <v>1196</v>
      </c>
      <c r="C956" t="s">
        <v>602</v>
      </c>
      <c r="D956" t="s">
        <v>962</v>
      </c>
      <c r="E956" t="s">
        <v>2024</v>
      </c>
      <c r="F956">
        <v>4692</v>
      </c>
      <c r="G956">
        <v>222951</v>
      </c>
      <c r="H956" t="s">
        <v>964</v>
      </c>
      <c r="I956">
        <v>233</v>
      </c>
      <c r="J956">
        <v>234</v>
      </c>
      <c r="K956" t="s">
        <v>979</v>
      </c>
      <c r="L956" t="s">
        <v>965</v>
      </c>
      <c r="M956" t="s">
        <v>2025</v>
      </c>
    </row>
    <row r="957" spans="1:13" x14ac:dyDescent="0.35">
      <c r="A957">
        <v>0</v>
      </c>
      <c r="B957">
        <v>2961</v>
      </c>
      <c r="C957" t="s">
        <v>602</v>
      </c>
      <c r="D957" t="s">
        <v>1301</v>
      </c>
      <c r="E957" t="s">
        <v>2026</v>
      </c>
      <c r="F957">
        <v>7187</v>
      </c>
      <c r="I957">
        <v>233</v>
      </c>
      <c r="J957">
        <v>232</v>
      </c>
      <c r="M957" t="s">
        <v>2026</v>
      </c>
    </row>
    <row r="958" spans="1:13" x14ac:dyDescent="0.35">
      <c r="A958">
        <v>103840</v>
      </c>
      <c r="B958">
        <v>1756</v>
      </c>
      <c r="C958" t="s">
        <v>602</v>
      </c>
      <c r="D958" t="s">
        <v>2003</v>
      </c>
      <c r="E958" t="s">
        <v>2027</v>
      </c>
      <c r="F958">
        <v>2105</v>
      </c>
      <c r="G958">
        <v>225246</v>
      </c>
      <c r="H958" t="s">
        <v>964</v>
      </c>
      <c r="I958">
        <v>233</v>
      </c>
      <c r="J958">
        <v>236</v>
      </c>
      <c r="K958" t="s">
        <v>2005</v>
      </c>
      <c r="L958" t="s">
        <v>1581</v>
      </c>
      <c r="M958" t="s">
        <v>2028</v>
      </c>
    </row>
    <row r="959" spans="1:13" x14ac:dyDescent="0.35">
      <c r="A959">
        <v>103856</v>
      </c>
      <c r="B959">
        <v>1657</v>
      </c>
      <c r="C959" t="s">
        <v>602</v>
      </c>
      <c r="D959" t="s">
        <v>1066</v>
      </c>
      <c r="E959" t="s">
        <v>2029</v>
      </c>
      <c r="F959">
        <v>4167295</v>
      </c>
      <c r="G959">
        <v>225260</v>
      </c>
      <c r="H959" t="s">
        <v>964</v>
      </c>
      <c r="I959">
        <v>233</v>
      </c>
      <c r="J959">
        <v>238</v>
      </c>
      <c r="K959" t="s">
        <v>1068</v>
      </c>
      <c r="L959" t="s">
        <v>965</v>
      </c>
      <c r="M959" t="s">
        <v>2030</v>
      </c>
    </row>
    <row r="960" spans="1:13" x14ac:dyDescent="0.35">
      <c r="A960">
        <v>101471</v>
      </c>
      <c r="B960">
        <v>1072</v>
      </c>
      <c r="C960" t="s">
        <v>602</v>
      </c>
      <c r="D960" t="s">
        <v>962</v>
      </c>
      <c r="E960" t="s">
        <v>2031</v>
      </c>
      <c r="F960">
        <v>3546</v>
      </c>
      <c r="G960">
        <v>221162</v>
      </c>
      <c r="H960" t="s">
        <v>964</v>
      </c>
      <c r="I960">
        <v>232</v>
      </c>
      <c r="J960">
        <v>233</v>
      </c>
      <c r="K960" t="s">
        <v>979</v>
      </c>
      <c r="L960" t="s">
        <v>965</v>
      </c>
      <c r="M960" t="s">
        <v>2032</v>
      </c>
    </row>
    <row r="961" spans="1:13" x14ac:dyDescent="0.35">
      <c r="A961">
        <v>103841</v>
      </c>
      <c r="B961">
        <v>1757</v>
      </c>
      <c r="C961" t="s">
        <v>602</v>
      </c>
      <c r="D961" t="s">
        <v>2003</v>
      </c>
      <c r="E961" t="s">
        <v>2033</v>
      </c>
      <c r="F961">
        <v>2110</v>
      </c>
      <c r="G961">
        <v>279</v>
      </c>
      <c r="H961" t="s">
        <v>964</v>
      </c>
      <c r="I961">
        <v>232</v>
      </c>
      <c r="J961">
        <v>235</v>
      </c>
      <c r="K961" t="s">
        <v>2005</v>
      </c>
      <c r="L961" t="s">
        <v>1581</v>
      </c>
      <c r="M961" t="s">
        <v>2034</v>
      </c>
    </row>
    <row r="962" spans="1:13" x14ac:dyDescent="0.35">
      <c r="A962">
        <v>0</v>
      </c>
      <c r="B962">
        <v>2960</v>
      </c>
      <c r="C962" t="s">
        <v>602</v>
      </c>
      <c r="D962" t="s">
        <v>1301</v>
      </c>
      <c r="E962" t="s">
        <v>2035</v>
      </c>
      <c r="F962">
        <v>7186</v>
      </c>
      <c r="I962">
        <v>232</v>
      </c>
      <c r="J962">
        <v>231</v>
      </c>
      <c r="M962" t="s">
        <v>2035</v>
      </c>
    </row>
    <row r="963" spans="1:13" x14ac:dyDescent="0.35">
      <c r="A963">
        <v>103770</v>
      </c>
      <c r="B963">
        <v>1642</v>
      </c>
      <c r="C963" t="s">
        <v>602</v>
      </c>
      <c r="D963" t="s">
        <v>1066</v>
      </c>
      <c r="E963" t="s">
        <v>2036</v>
      </c>
      <c r="F963">
        <v>4167292</v>
      </c>
      <c r="G963">
        <v>225154</v>
      </c>
      <c r="H963" t="s">
        <v>964</v>
      </c>
      <c r="I963">
        <v>232</v>
      </c>
      <c r="J963">
        <v>237</v>
      </c>
      <c r="K963" t="s">
        <v>1068</v>
      </c>
      <c r="L963" t="s">
        <v>965</v>
      </c>
      <c r="M963" t="s">
        <v>2037</v>
      </c>
    </row>
    <row r="964" spans="1:13" x14ac:dyDescent="0.35">
      <c r="A964">
        <v>103241</v>
      </c>
      <c r="B964">
        <v>1449</v>
      </c>
      <c r="C964" t="s">
        <v>602</v>
      </c>
      <c r="D964" t="s">
        <v>1066</v>
      </c>
      <c r="E964" t="s">
        <v>2038</v>
      </c>
      <c r="F964">
        <v>4167167</v>
      </c>
      <c r="G964">
        <v>222332</v>
      </c>
      <c r="H964" t="s">
        <v>964</v>
      </c>
      <c r="I964">
        <v>231</v>
      </c>
      <c r="J964">
        <v>236</v>
      </c>
      <c r="K964" t="s">
        <v>1068</v>
      </c>
      <c r="L964" t="s">
        <v>965</v>
      </c>
      <c r="M964" t="s">
        <v>2039</v>
      </c>
    </row>
    <row r="965" spans="1:13" x14ac:dyDescent="0.35">
      <c r="A965">
        <v>0</v>
      </c>
      <c r="B965">
        <v>2959</v>
      </c>
      <c r="C965" t="s">
        <v>602</v>
      </c>
      <c r="D965" t="s">
        <v>1301</v>
      </c>
      <c r="E965" t="s">
        <v>2040</v>
      </c>
      <c r="F965">
        <v>7185</v>
      </c>
      <c r="I965">
        <v>231</v>
      </c>
      <c r="J965">
        <v>230</v>
      </c>
      <c r="M965" t="s">
        <v>2040</v>
      </c>
    </row>
    <row r="966" spans="1:13" x14ac:dyDescent="0.35">
      <c r="A966">
        <v>103832</v>
      </c>
      <c r="B966">
        <v>1748</v>
      </c>
      <c r="C966" t="s">
        <v>602</v>
      </c>
      <c r="D966" t="s">
        <v>2003</v>
      </c>
      <c r="E966" t="s">
        <v>2041</v>
      </c>
      <c r="F966">
        <v>2113</v>
      </c>
      <c r="G966">
        <v>225240</v>
      </c>
      <c r="H966" t="s">
        <v>964</v>
      </c>
      <c r="I966">
        <v>231</v>
      </c>
      <c r="J966">
        <v>234</v>
      </c>
      <c r="K966" t="s">
        <v>1799</v>
      </c>
      <c r="L966" t="s">
        <v>1581</v>
      </c>
      <c r="M966" t="s">
        <v>2042</v>
      </c>
    </row>
    <row r="967" spans="1:13" x14ac:dyDescent="0.35">
      <c r="A967">
        <v>104024</v>
      </c>
      <c r="B967">
        <v>1234</v>
      </c>
      <c r="C967" t="s">
        <v>602</v>
      </c>
      <c r="D967" t="s">
        <v>962</v>
      </c>
      <c r="E967" t="s">
        <v>2043</v>
      </c>
      <c r="F967">
        <v>5007</v>
      </c>
      <c r="G967">
        <v>226106</v>
      </c>
      <c r="H967" t="s">
        <v>964</v>
      </c>
      <c r="I967">
        <v>231</v>
      </c>
      <c r="J967">
        <v>232</v>
      </c>
      <c r="K967" t="s">
        <v>979</v>
      </c>
      <c r="L967" t="s">
        <v>965</v>
      </c>
      <c r="M967" t="s">
        <v>2044</v>
      </c>
    </row>
    <row r="968" spans="1:13" x14ac:dyDescent="0.35">
      <c r="A968">
        <v>0</v>
      </c>
      <c r="B968">
        <v>2958</v>
      </c>
      <c r="C968" t="s">
        <v>602</v>
      </c>
      <c r="D968" t="s">
        <v>1301</v>
      </c>
      <c r="E968" t="s">
        <v>2045</v>
      </c>
      <c r="F968">
        <v>7184</v>
      </c>
      <c r="I968">
        <v>230</v>
      </c>
      <c r="J968">
        <v>229</v>
      </c>
      <c r="M968" t="s">
        <v>2045</v>
      </c>
    </row>
    <row r="969" spans="1:13" x14ac:dyDescent="0.35">
      <c r="A969">
        <v>103844</v>
      </c>
      <c r="B969">
        <v>1760</v>
      </c>
      <c r="C969" t="s">
        <v>602</v>
      </c>
      <c r="D969" t="s">
        <v>2003</v>
      </c>
      <c r="E969" t="s">
        <v>2046</v>
      </c>
      <c r="F969">
        <v>2125</v>
      </c>
      <c r="G969">
        <v>225249</v>
      </c>
      <c r="H969" t="s">
        <v>964</v>
      </c>
      <c r="I969">
        <v>230</v>
      </c>
      <c r="J969">
        <v>233</v>
      </c>
      <c r="K969" t="s">
        <v>2005</v>
      </c>
      <c r="L969" t="s">
        <v>1581</v>
      </c>
      <c r="M969" t="s">
        <v>2047</v>
      </c>
    </row>
    <row r="970" spans="1:13" x14ac:dyDescent="0.35">
      <c r="A970">
        <v>101393</v>
      </c>
      <c r="B970">
        <v>1017</v>
      </c>
      <c r="C970" t="s">
        <v>602</v>
      </c>
      <c r="D970" t="s">
        <v>962</v>
      </c>
      <c r="E970" t="s">
        <v>2048</v>
      </c>
      <c r="F970">
        <v>3428</v>
      </c>
      <c r="G970">
        <v>219929</v>
      </c>
      <c r="H970" t="s">
        <v>964</v>
      </c>
      <c r="I970">
        <v>230</v>
      </c>
      <c r="J970">
        <v>231</v>
      </c>
      <c r="K970" t="s">
        <v>979</v>
      </c>
      <c r="L970" t="s">
        <v>965</v>
      </c>
      <c r="M970" t="s">
        <v>2049</v>
      </c>
    </row>
    <row r="971" spans="1:13" x14ac:dyDescent="0.35">
      <c r="A971">
        <v>103993</v>
      </c>
      <c r="B971">
        <v>1674</v>
      </c>
      <c r="C971" t="s">
        <v>602</v>
      </c>
      <c r="D971" t="s">
        <v>1066</v>
      </c>
      <c r="E971" t="s">
        <v>2050</v>
      </c>
      <c r="F971">
        <v>4167300</v>
      </c>
      <c r="G971">
        <v>225973</v>
      </c>
      <c r="H971" t="s">
        <v>964</v>
      </c>
      <c r="I971">
        <v>230</v>
      </c>
      <c r="J971">
        <v>235</v>
      </c>
      <c r="K971" t="s">
        <v>1068</v>
      </c>
      <c r="L971" t="s">
        <v>965</v>
      </c>
      <c r="M971" t="s">
        <v>2051</v>
      </c>
    </row>
    <row r="972" spans="1:13" x14ac:dyDescent="0.35">
      <c r="A972">
        <v>101513</v>
      </c>
      <c r="B972">
        <v>1108</v>
      </c>
      <c r="C972" t="s">
        <v>602</v>
      </c>
      <c r="D972" t="s">
        <v>962</v>
      </c>
      <c r="E972" t="s">
        <v>2052</v>
      </c>
      <c r="F972">
        <v>3626</v>
      </c>
      <c r="G972">
        <v>221682</v>
      </c>
      <c r="H972" t="s">
        <v>964</v>
      </c>
      <c r="I972">
        <v>229</v>
      </c>
      <c r="J972">
        <v>230</v>
      </c>
      <c r="K972" t="s">
        <v>979</v>
      </c>
      <c r="L972" t="s">
        <v>965</v>
      </c>
      <c r="M972" t="s">
        <v>2053</v>
      </c>
    </row>
    <row r="973" spans="1:13" x14ac:dyDescent="0.35">
      <c r="A973">
        <v>103843</v>
      </c>
      <c r="B973">
        <v>1759</v>
      </c>
      <c r="C973" t="s">
        <v>602</v>
      </c>
      <c r="D973" t="s">
        <v>2003</v>
      </c>
      <c r="E973" t="s">
        <v>2054</v>
      </c>
      <c r="F973">
        <v>2128</v>
      </c>
      <c r="G973">
        <v>225248</v>
      </c>
      <c r="H973" t="s">
        <v>964</v>
      </c>
      <c r="I973">
        <v>229</v>
      </c>
      <c r="J973">
        <v>232</v>
      </c>
      <c r="K973" t="s">
        <v>2005</v>
      </c>
      <c r="L973" t="s">
        <v>1581</v>
      </c>
      <c r="M973" t="s">
        <v>2055</v>
      </c>
    </row>
    <row r="974" spans="1:13" x14ac:dyDescent="0.35">
      <c r="A974">
        <v>0</v>
      </c>
      <c r="B974">
        <v>2957</v>
      </c>
      <c r="C974" t="s">
        <v>602</v>
      </c>
      <c r="D974" t="s">
        <v>1301</v>
      </c>
      <c r="E974" t="s">
        <v>2056</v>
      </c>
      <c r="F974">
        <v>7183</v>
      </c>
      <c r="I974">
        <v>229</v>
      </c>
      <c r="J974">
        <v>228</v>
      </c>
      <c r="M974" t="s">
        <v>2056</v>
      </c>
    </row>
    <row r="975" spans="1:13" x14ac:dyDescent="0.35">
      <c r="A975">
        <v>103258</v>
      </c>
      <c r="B975">
        <v>1462</v>
      </c>
      <c r="C975" t="s">
        <v>602</v>
      </c>
      <c r="D975" t="s">
        <v>1066</v>
      </c>
      <c r="E975" t="s">
        <v>2057</v>
      </c>
      <c r="F975">
        <v>4167138</v>
      </c>
      <c r="G975">
        <v>222371</v>
      </c>
      <c r="H975" t="s">
        <v>964</v>
      </c>
      <c r="I975">
        <v>229</v>
      </c>
      <c r="J975">
        <v>234</v>
      </c>
      <c r="K975" t="s">
        <v>1068</v>
      </c>
      <c r="L975" t="s">
        <v>980</v>
      </c>
      <c r="M975" t="s">
        <v>2058</v>
      </c>
    </row>
    <row r="976" spans="1:13" x14ac:dyDescent="0.35">
      <c r="A976">
        <v>103847</v>
      </c>
      <c r="B976">
        <v>1763</v>
      </c>
      <c r="C976" t="s">
        <v>602</v>
      </c>
      <c r="D976" t="s">
        <v>2003</v>
      </c>
      <c r="E976" t="s">
        <v>2059</v>
      </c>
      <c r="F976">
        <v>2066</v>
      </c>
      <c r="G976">
        <v>225252</v>
      </c>
      <c r="H976" t="s">
        <v>964</v>
      </c>
      <c r="I976">
        <v>228</v>
      </c>
      <c r="J976">
        <v>231</v>
      </c>
      <c r="K976" t="s">
        <v>1283</v>
      </c>
      <c r="L976" t="s">
        <v>1581</v>
      </c>
      <c r="M976" t="s">
        <v>2060</v>
      </c>
    </row>
    <row r="977" spans="1:13" x14ac:dyDescent="0.35">
      <c r="A977">
        <v>101600</v>
      </c>
      <c r="B977">
        <v>1193</v>
      </c>
      <c r="C977" t="s">
        <v>602</v>
      </c>
      <c r="D977" t="s">
        <v>962</v>
      </c>
      <c r="E977" t="s">
        <v>2061</v>
      </c>
      <c r="F977">
        <v>4636</v>
      </c>
      <c r="G977">
        <v>222931</v>
      </c>
      <c r="H977" t="s">
        <v>964</v>
      </c>
      <c r="I977">
        <v>228</v>
      </c>
      <c r="J977">
        <v>229</v>
      </c>
      <c r="K977" t="s">
        <v>979</v>
      </c>
      <c r="L977" t="s">
        <v>965</v>
      </c>
      <c r="M977" t="s">
        <v>2062</v>
      </c>
    </row>
    <row r="978" spans="1:13" x14ac:dyDescent="0.35">
      <c r="A978">
        <v>103865</v>
      </c>
      <c r="B978">
        <v>1664</v>
      </c>
      <c r="C978" t="s">
        <v>602</v>
      </c>
      <c r="D978" t="s">
        <v>1066</v>
      </c>
      <c r="E978" t="s">
        <v>2063</v>
      </c>
      <c r="F978">
        <v>4167296</v>
      </c>
      <c r="G978">
        <v>571</v>
      </c>
      <c r="H978" t="s">
        <v>964</v>
      </c>
      <c r="I978">
        <v>228</v>
      </c>
      <c r="J978">
        <v>233</v>
      </c>
      <c r="K978" t="s">
        <v>1068</v>
      </c>
      <c r="L978" t="s">
        <v>965</v>
      </c>
      <c r="M978" t="s">
        <v>2064</v>
      </c>
    </row>
    <row r="979" spans="1:13" x14ac:dyDescent="0.35">
      <c r="A979">
        <v>0</v>
      </c>
      <c r="B979">
        <v>2956</v>
      </c>
      <c r="C979" t="s">
        <v>602</v>
      </c>
      <c r="D979" t="s">
        <v>1301</v>
      </c>
      <c r="E979" t="s">
        <v>2065</v>
      </c>
      <c r="F979">
        <v>7182</v>
      </c>
      <c r="I979">
        <v>228</v>
      </c>
      <c r="J979">
        <v>227</v>
      </c>
      <c r="M979" t="s">
        <v>2065</v>
      </c>
    </row>
    <row r="980" spans="1:13" x14ac:dyDescent="0.35">
      <c r="A980">
        <v>101355</v>
      </c>
      <c r="B980">
        <v>985</v>
      </c>
      <c r="C980" t="s">
        <v>602</v>
      </c>
      <c r="D980" t="s">
        <v>962</v>
      </c>
      <c r="E980" t="s">
        <v>2066</v>
      </c>
      <c r="F980">
        <v>3453</v>
      </c>
      <c r="G980">
        <v>219734</v>
      </c>
      <c r="H980" t="s">
        <v>964</v>
      </c>
      <c r="I980">
        <v>227</v>
      </c>
      <c r="J980">
        <v>228</v>
      </c>
      <c r="K980" t="s">
        <v>979</v>
      </c>
      <c r="L980" t="s">
        <v>965</v>
      </c>
      <c r="M980" t="s">
        <v>2067</v>
      </c>
    </row>
    <row r="981" spans="1:13" x14ac:dyDescent="0.35">
      <c r="A981">
        <v>0</v>
      </c>
      <c r="B981">
        <v>2955</v>
      </c>
      <c r="C981" t="s">
        <v>602</v>
      </c>
      <c r="D981" t="s">
        <v>1301</v>
      </c>
      <c r="E981" t="s">
        <v>2068</v>
      </c>
      <c r="F981">
        <v>7181</v>
      </c>
      <c r="I981">
        <v>227</v>
      </c>
      <c r="J981">
        <v>226</v>
      </c>
      <c r="M981" t="s">
        <v>2068</v>
      </c>
    </row>
    <row r="982" spans="1:13" x14ac:dyDescent="0.35">
      <c r="A982">
        <v>103820</v>
      </c>
      <c r="B982">
        <v>1740</v>
      </c>
      <c r="C982" t="s">
        <v>602</v>
      </c>
      <c r="D982" t="s">
        <v>2003</v>
      </c>
      <c r="E982" t="s">
        <v>2069</v>
      </c>
      <c r="F982">
        <v>2070</v>
      </c>
      <c r="G982">
        <v>219445</v>
      </c>
      <c r="H982" t="s">
        <v>964</v>
      </c>
      <c r="I982">
        <v>227</v>
      </c>
      <c r="J982">
        <v>230</v>
      </c>
      <c r="K982" t="s">
        <v>1799</v>
      </c>
      <c r="L982" t="s">
        <v>1581</v>
      </c>
      <c r="M982" t="s">
        <v>2070</v>
      </c>
    </row>
    <row r="983" spans="1:13" x14ac:dyDescent="0.35">
      <c r="A983">
        <v>103974</v>
      </c>
      <c r="B983">
        <v>1672</v>
      </c>
      <c r="C983" t="s">
        <v>602</v>
      </c>
      <c r="D983" t="s">
        <v>1066</v>
      </c>
      <c r="E983" t="s">
        <v>2071</v>
      </c>
      <c r="F983">
        <v>4167297</v>
      </c>
      <c r="G983">
        <v>225455</v>
      </c>
      <c r="H983" t="s">
        <v>964</v>
      </c>
      <c r="I983">
        <v>227</v>
      </c>
      <c r="J983">
        <v>232</v>
      </c>
      <c r="K983" t="s">
        <v>1068</v>
      </c>
      <c r="L983" t="s">
        <v>965</v>
      </c>
      <c r="M983" t="s">
        <v>2072</v>
      </c>
    </row>
    <row r="984" spans="1:13" x14ac:dyDescent="0.35">
      <c r="A984">
        <v>0</v>
      </c>
      <c r="B984">
        <v>2954</v>
      </c>
      <c r="C984" t="s">
        <v>602</v>
      </c>
      <c r="D984" t="s">
        <v>1301</v>
      </c>
      <c r="E984" t="s">
        <v>2073</v>
      </c>
      <c r="F984">
        <v>7180</v>
      </c>
      <c r="I984">
        <v>226</v>
      </c>
      <c r="J984">
        <v>225</v>
      </c>
      <c r="M984" t="s">
        <v>2073</v>
      </c>
    </row>
    <row r="985" spans="1:13" x14ac:dyDescent="0.35">
      <c r="A985">
        <v>103410</v>
      </c>
      <c r="B985">
        <v>1557</v>
      </c>
      <c r="C985" t="s">
        <v>602</v>
      </c>
      <c r="D985" t="s">
        <v>1066</v>
      </c>
      <c r="E985" t="s">
        <v>2074</v>
      </c>
      <c r="F985">
        <v>4167190</v>
      </c>
      <c r="G985">
        <v>218064</v>
      </c>
      <c r="H985" t="s">
        <v>964</v>
      </c>
      <c r="I985">
        <v>226</v>
      </c>
      <c r="J985">
        <v>231</v>
      </c>
      <c r="K985" t="s">
        <v>1068</v>
      </c>
      <c r="L985" t="s">
        <v>965</v>
      </c>
      <c r="M985" t="s">
        <v>2075</v>
      </c>
    </row>
    <row r="986" spans="1:13" x14ac:dyDescent="0.35">
      <c r="A986">
        <v>104247</v>
      </c>
      <c r="B986">
        <v>1272</v>
      </c>
      <c r="C986" t="s">
        <v>602</v>
      </c>
      <c r="D986" t="s">
        <v>962</v>
      </c>
      <c r="E986" t="s">
        <v>2076</v>
      </c>
      <c r="F986">
        <v>5367</v>
      </c>
      <c r="G986">
        <v>227422</v>
      </c>
      <c r="H986" t="s">
        <v>964</v>
      </c>
      <c r="I986">
        <v>226</v>
      </c>
      <c r="J986">
        <v>227</v>
      </c>
      <c r="K986" t="s">
        <v>979</v>
      </c>
      <c r="L986" t="s">
        <v>965</v>
      </c>
      <c r="M986" t="s">
        <v>2077</v>
      </c>
    </row>
    <row r="987" spans="1:13" x14ac:dyDescent="0.35">
      <c r="A987">
        <v>103833</v>
      </c>
      <c r="B987">
        <v>1749</v>
      </c>
      <c r="C987" t="s">
        <v>602</v>
      </c>
      <c r="D987" t="s">
        <v>2003</v>
      </c>
      <c r="E987" t="s">
        <v>2078</v>
      </c>
      <c r="F987">
        <v>2081</v>
      </c>
      <c r="G987">
        <v>225241</v>
      </c>
      <c r="H987" t="s">
        <v>964</v>
      </c>
      <c r="I987">
        <v>226</v>
      </c>
      <c r="J987">
        <v>229</v>
      </c>
      <c r="K987" t="s">
        <v>2079</v>
      </c>
      <c r="L987" t="s">
        <v>1581</v>
      </c>
      <c r="M987" t="s">
        <v>2080</v>
      </c>
    </row>
    <row r="988" spans="1:13" x14ac:dyDescent="0.35">
      <c r="A988">
        <v>103481</v>
      </c>
      <c r="B988">
        <v>1606</v>
      </c>
      <c r="C988" t="s">
        <v>602</v>
      </c>
      <c r="D988" t="s">
        <v>1066</v>
      </c>
      <c r="E988" t="s">
        <v>2081</v>
      </c>
      <c r="F988">
        <v>4167140</v>
      </c>
      <c r="G988">
        <v>222810</v>
      </c>
      <c r="H988" t="s">
        <v>964</v>
      </c>
      <c r="I988">
        <v>225</v>
      </c>
      <c r="J988">
        <v>230</v>
      </c>
      <c r="K988" t="s">
        <v>1068</v>
      </c>
      <c r="L988" t="s">
        <v>965</v>
      </c>
      <c r="M988" t="s">
        <v>2082</v>
      </c>
    </row>
    <row r="989" spans="1:13" x14ac:dyDescent="0.35">
      <c r="A989">
        <v>103834</v>
      </c>
      <c r="B989">
        <v>1750</v>
      </c>
      <c r="C989" t="s">
        <v>602</v>
      </c>
      <c r="D989" t="s">
        <v>2003</v>
      </c>
      <c r="E989" t="s">
        <v>2083</v>
      </c>
      <c r="F989">
        <v>2082</v>
      </c>
      <c r="G989">
        <v>165</v>
      </c>
      <c r="H989" t="s">
        <v>964</v>
      </c>
      <c r="I989">
        <v>225</v>
      </c>
      <c r="J989">
        <v>228</v>
      </c>
      <c r="K989" t="s">
        <v>2079</v>
      </c>
      <c r="L989" t="s">
        <v>1581</v>
      </c>
      <c r="M989" t="s">
        <v>2084</v>
      </c>
    </row>
    <row r="990" spans="1:13" x14ac:dyDescent="0.35">
      <c r="A990">
        <v>0</v>
      </c>
      <c r="B990">
        <v>2953</v>
      </c>
      <c r="C990" t="s">
        <v>602</v>
      </c>
      <c r="D990" t="s">
        <v>1301</v>
      </c>
      <c r="E990" t="s">
        <v>2085</v>
      </c>
      <c r="F990">
        <v>7179</v>
      </c>
      <c r="I990">
        <v>225</v>
      </c>
      <c r="J990">
        <v>224</v>
      </c>
      <c r="M990" t="s">
        <v>2085</v>
      </c>
    </row>
    <row r="991" spans="1:13" x14ac:dyDescent="0.35">
      <c r="A991">
        <v>101504</v>
      </c>
      <c r="B991">
        <v>1102</v>
      </c>
      <c r="C991" t="s">
        <v>602</v>
      </c>
      <c r="D991" t="s">
        <v>962</v>
      </c>
      <c r="E991" t="s">
        <v>2086</v>
      </c>
      <c r="F991">
        <v>3728</v>
      </c>
      <c r="G991">
        <v>221566</v>
      </c>
      <c r="H991" t="s">
        <v>964</v>
      </c>
      <c r="I991">
        <v>225</v>
      </c>
      <c r="J991">
        <v>226</v>
      </c>
      <c r="K991" t="s">
        <v>979</v>
      </c>
      <c r="L991" t="s">
        <v>965</v>
      </c>
      <c r="M991" t="s">
        <v>2087</v>
      </c>
    </row>
    <row r="992" spans="1:13" x14ac:dyDescent="0.35">
      <c r="A992">
        <v>0</v>
      </c>
      <c r="B992">
        <v>2952</v>
      </c>
      <c r="C992" t="s">
        <v>602</v>
      </c>
      <c r="D992" t="s">
        <v>1301</v>
      </c>
      <c r="E992" t="s">
        <v>2088</v>
      </c>
      <c r="F992">
        <v>7178</v>
      </c>
      <c r="I992">
        <v>224</v>
      </c>
      <c r="J992">
        <v>223</v>
      </c>
      <c r="M992" t="s">
        <v>2088</v>
      </c>
    </row>
    <row r="993" spans="1:13" x14ac:dyDescent="0.35">
      <c r="A993">
        <v>101406</v>
      </c>
      <c r="B993">
        <v>1026</v>
      </c>
      <c r="C993" t="s">
        <v>602</v>
      </c>
      <c r="D993" t="s">
        <v>962</v>
      </c>
      <c r="E993" t="s">
        <v>2089</v>
      </c>
      <c r="F993">
        <v>3467</v>
      </c>
      <c r="G993">
        <v>220914</v>
      </c>
      <c r="H993" t="s">
        <v>964</v>
      </c>
      <c r="I993">
        <v>224</v>
      </c>
      <c r="J993">
        <v>225</v>
      </c>
      <c r="K993" t="s">
        <v>1051</v>
      </c>
      <c r="L993" t="s">
        <v>965</v>
      </c>
      <c r="M993" t="s">
        <v>2090</v>
      </c>
    </row>
    <row r="994" spans="1:13" x14ac:dyDescent="0.35">
      <c r="A994">
        <v>103835</v>
      </c>
      <c r="B994">
        <v>1751</v>
      </c>
      <c r="C994" t="s">
        <v>602</v>
      </c>
      <c r="D994" t="s">
        <v>2003</v>
      </c>
      <c r="E994" t="s">
        <v>2091</v>
      </c>
      <c r="F994">
        <v>2085</v>
      </c>
      <c r="G994">
        <v>225242</v>
      </c>
      <c r="H994" t="s">
        <v>964</v>
      </c>
      <c r="I994">
        <v>224</v>
      </c>
      <c r="J994">
        <v>227</v>
      </c>
      <c r="K994" t="s">
        <v>2079</v>
      </c>
      <c r="L994" t="s">
        <v>1581</v>
      </c>
      <c r="M994" t="s">
        <v>2092</v>
      </c>
    </row>
    <row r="995" spans="1:13" x14ac:dyDescent="0.35">
      <c r="A995">
        <v>103369</v>
      </c>
      <c r="B995">
        <v>1527</v>
      </c>
      <c r="C995" t="s">
        <v>602</v>
      </c>
      <c r="D995" t="s">
        <v>1066</v>
      </c>
      <c r="E995" t="s">
        <v>2093</v>
      </c>
      <c r="F995">
        <v>4167100</v>
      </c>
      <c r="G995">
        <v>222648</v>
      </c>
      <c r="H995" t="s">
        <v>964</v>
      </c>
      <c r="I995">
        <v>224</v>
      </c>
      <c r="J995">
        <v>229</v>
      </c>
      <c r="K995" t="s">
        <v>1068</v>
      </c>
      <c r="L995" t="s">
        <v>965</v>
      </c>
      <c r="M995" t="s">
        <v>2094</v>
      </c>
    </row>
    <row r="996" spans="1:13" x14ac:dyDescent="0.35">
      <c r="A996">
        <v>103326</v>
      </c>
      <c r="B996">
        <v>1505</v>
      </c>
      <c r="C996" t="s">
        <v>602</v>
      </c>
      <c r="D996" t="s">
        <v>1066</v>
      </c>
      <c r="E996" t="s">
        <v>2095</v>
      </c>
      <c r="F996">
        <v>4167159</v>
      </c>
      <c r="G996">
        <v>222474</v>
      </c>
      <c r="H996" t="s">
        <v>964</v>
      </c>
      <c r="I996">
        <v>223</v>
      </c>
      <c r="J996">
        <v>228</v>
      </c>
      <c r="K996" t="s">
        <v>1068</v>
      </c>
      <c r="L996" t="s">
        <v>965</v>
      </c>
      <c r="M996" t="s">
        <v>2096</v>
      </c>
    </row>
    <row r="997" spans="1:13" x14ac:dyDescent="0.35">
      <c r="A997">
        <v>0</v>
      </c>
      <c r="B997">
        <v>2951</v>
      </c>
      <c r="C997" t="s">
        <v>602</v>
      </c>
      <c r="D997" t="s">
        <v>1301</v>
      </c>
      <c r="E997" t="s">
        <v>2097</v>
      </c>
      <c r="F997">
        <v>7177</v>
      </c>
      <c r="I997">
        <v>223</v>
      </c>
      <c r="J997">
        <v>222</v>
      </c>
      <c r="M997" t="s">
        <v>2097</v>
      </c>
    </row>
    <row r="998" spans="1:13" x14ac:dyDescent="0.35">
      <c r="A998">
        <v>104210</v>
      </c>
      <c r="B998">
        <v>1767</v>
      </c>
      <c r="C998" t="s">
        <v>602</v>
      </c>
      <c r="D998" t="s">
        <v>2003</v>
      </c>
      <c r="E998" t="s">
        <v>2098</v>
      </c>
      <c r="F998">
        <v>2086</v>
      </c>
      <c r="G998">
        <v>227173</v>
      </c>
      <c r="H998" t="s">
        <v>964</v>
      </c>
      <c r="I998">
        <v>223</v>
      </c>
      <c r="J998">
        <v>226</v>
      </c>
      <c r="K998" t="s">
        <v>2079</v>
      </c>
      <c r="L998" t="s">
        <v>1581</v>
      </c>
      <c r="M998" t="s">
        <v>2099</v>
      </c>
    </row>
    <row r="999" spans="1:13" x14ac:dyDescent="0.35">
      <c r="A999">
        <v>103680</v>
      </c>
      <c r="B999">
        <v>1202</v>
      </c>
      <c r="C999" t="s">
        <v>602</v>
      </c>
      <c r="D999" t="s">
        <v>962</v>
      </c>
      <c r="E999" t="s">
        <v>2100</v>
      </c>
      <c r="F999">
        <v>3197</v>
      </c>
      <c r="G999">
        <v>223129</v>
      </c>
      <c r="H999" t="s">
        <v>964</v>
      </c>
      <c r="I999">
        <v>223</v>
      </c>
      <c r="J999">
        <v>224</v>
      </c>
      <c r="K999" t="s">
        <v>979</v>
      </c>
      <c r="L999" t="s">
        <v>965</v>
      </c>
      <c r="M999" t="s">
        <v>2101</v>
      </c>
    </row>
    <row r="1000" spans="1:13" x14ac:dyDescent="0.35">
      <c r="A1000">
        <v>104043</v>
      </c>
      <c r="B1000">
        <v>1236</v>
      </c>
      <c r="C1000" t="s">
        <v>602</v>
      </c>
      <c r="D1000" t="s">
        <v>962</v>
      </c>
      <c r="E1000" t="s">
        <v>2102</v>
      </c>
      <c r="F1000">
        <v>4185</v>
      </c>
      <c r="G1000">
        <v>226134</v>
      </c>
      <c r="H1000" t="s">
        <v>964</v>
      </c>
      <c r="I1000">
        <v>222</v>
      </c>
      <c r="J1000">
        <v>223</v>
      </c>
      <c r="K1000" t="s">
        <v>979</v>
      </c>
      <c r="L1000" t="s">
        <v>965</v>
      </c>
      <c r="M1000" t="s">
        <v>2103</v>
      </c>
    </row>
    <row r="1001" spans="1:13" x14ac:dyDescent="0.35">
      <c r="A1001">
        <v>103836</v>
      </c>
      <c r="B1001">
        <v>1752</v>
      </c>
      <c r="C1001" t="s">
        <v>602</v>
      </c>
      <c r="D1001" t="s">
        <v>2003</v>
      </c>
      <c r="E1001" t="s">
        <v>2104</v>
      </c>
      <c r="F1001">
        <v>2087</v>
      </c>
      <c r="G1001">
        <v>225243</v>
      </c>
      <c r="H1001" t="s">
        <v>964</v>
      </c>
      <c r="I1001">
        <v>222</v>
      </c>
      <c r="J1001">
        <v>225</v>
      </c>
      <c r="K1001" t="s">
        <v>2005</v>
      </c>
      <c r="L1001" t="s">
        <v>1581</v>
      </c>
      <c r="M1001" t="s">
        <v>2105</v>
      </c>
    </row>
    <row r="1002" spans="1:13" x14ac:dyDescent="0.35">
      <c r="A1002">
        <v>0</v>
      </c>
      <c r="B1002">
        <v>2950</v>
      </c>
      <c r="C1002" t="s">
        <v>602</v>
      </c>
      <c r="D1002" t="s">
        <v>1301</v>
      </c>
      <c r="E1002" t="s">
        <v>2106</v>
      </c>
      <c r="F1002">
        <v>7176</v>
      </c>
      <c r="I1002">
        <v>222</v>
      </c>
      <c r="J1002">
        <v>221</v>
      </c>
      <c r="M1002" t="s">
        <v>2106</v>
      </c>
    </row>
    <row r="1003" spans="1:13" x14ac:dyDescent="0.35">
      <c r="A1003">
        <v>104225</v>
      </c>
      <c r="B1003">
        <v>1691</v>
      </c>
      <c r="C1003" t="s">
        <v>602</v>
      </c>
      <c r="D1003" t="s">
        <v>1066</v>
      </c>
      <c r="E1003" t="s">
        <v>2107</v>
      </c>
      <c r="F1003">
        <v>4167366</v>
      </c>
      <c r="G1003">
        <v>227256</v>
      </c>
      <c r="H1003" t="s">
        <v>964</v>
      </c>
      <c r="I1003">
        <v>222</v>
      </c>
      <c r="J1003">
        <v>227</v>
      </c>
      <c r="K1003" t="s">
        <v>1068</v>
      </c>
      <c r="L1003" t="s">
        <v>965</v>
      </c>
      <c r="M1003" t="s">
        <v>2108</v>
      </c>
    </row>
    <row r="1004" spans="1:13" x14ac:dyDescent="0.35">
      <c r="A1004">
        <v>101528</v>
      </c>
      <c r="B1004">
        <v>1122</v>
      </c>
      <c r="C1004" t="s">
        <v>602</v>
      </c>
      <c r="D1004" t="s">
        <v>962</v>
      </c>
      <c r="E1004" t="s">
        <v>2109</v>
      </c>
      <c r="F1004">
        <v>3735</v>
      </c>
      <c r="G1004">
        <v>221797</v>
      </c>
      <c r="H1004" t="s">
        <v>964</v>
      </c>
      <c r="I1004">
        <v>221</v>
      </c>
      <c r="J1004">
        <v>222</v>
      </c>
      <c r="K1004" t="s">
        <v>979</v>
      </c>
      <c r="L1004" t="s">
        <v>980</v>
      </c>
      <c r="M1004" t="s">
        <v>2110</v>
      </c>
    </row>
    <row r="1005" spans="1:13" x14ac:dyDescent="0.35">
      <c r="A1005">
        <v>0</v>
      </c>
      <c r="B1005">
        <v>2949</v>
      </c>
      <c r="C1005" t="s">
        <v>602</v>
      </c>
      <c r="D1005" t="s">
        <v>1301</v>
      </c>
      <c r="E1005" t="s">
        <v>2111</v>
      </c>
      <c r="F1005">
        <v>7175</v>
      </c>
      <c r="I1005">
        <v>221</v>
      </c>
      <c r="J1005">
        <v>220</v>
      </c>
      <c r="M1005" t="s">
        <v>2111</v>
      </c>
    </row>
    <row r="1006" spans="1:13" x14ac:dyDescent="0.35">
      <c r="A1006">
        <v>103769</v>
      </c>
      <c r="B1006">
        <v>1641</v>
      </c>
      <c r="C1006" t="s">
        <v>602</v>
      </c>
      <c r="D1006" t="s">
        <v>1066</v>
      </c>
      <c r="E1006" t="s">
        <v>2112</v>
      </c>
      <c r="F1006">
        <v>4167219</v>
      </c>
      <c r="G1006">
        <v>225153</v>
      </c>
      <c r="H1006" t="s">
        <v>964</v>
      </c>
      <c r="I1006">
        <v>221</v>
      </c>
      <c r="J1006">
        <v>226</v>
      </c>
      <c r="K1006" t="s">
        <v>1068</v>
      </c>
      <c r="L1006" t="s">
        <v>965</v>
      </c>
      <c r="M1006" t="s">
        <v>2113</v>
      </c>
    </row>
    <row r="1007" spans="1:13" x14ac:dyDescent="0.35">
      <c r="A1007">
        <v>103845</v>
      </c>
      <c r="B1007">
        <v>1761</v>
      </c>
      <c r="C1007" t="s">
        <v>602</v>
      </c>
      <c r="D1007" t="s">
        <v>2003</v>
      </c>
      <c r="E1007" t="s">
        <v>2114</v>
      </c>
      <c r="F1007">
        <v>2088</v>
      </c>
      <c r="G1007">
        <v>225250</v>
      </c>
      <c r="H1007" t="s">
        <v>964</v>
      </c>
      <c r="I1007">
        <v>221</v>
      </c>
      <c r="J1007">
        <v>224</v>
      </c>
      <c r="K1007" t="s">
        <v>2005</v>
      </c>
      <c r="L1007" t="s">
        <v>1581</v>
      </c>
      <c r="M1007" t="s">
        <v>2115</v>
      </c>
    </row>
    <row r="1008" spans="1:13" x14ac:dyDescent="0.35">
      <c r="A1008">
        <v>0</v>
      </c>
      <c r="B1008">
        <v>2948</v>
      </c>
      <c r="C1008" t="s">
        <v>602</v>
      </c>
      <c r="D1008" t="s">
        <v>1301</v>
      </c>
      <c r="E1008" t="s">
        <v>2116</v>
      </c>
      <c r="F1008">
        <v>7174</v>
      </c>
      <c r="I1008">
        <v>220</v>
      </c>
      <c r="J1008">
        <v>219</v>
      </c>
      <c r="M1008" t="s">
        <v>2116</v>
      </c>
    </row>
    <row r="1009" spans="1:13" x14ac:dyDescent="0.35">
      <c r="A1009">
        <v>103837</v>
      </c>
      <c r="B1009">
        <v>1753</v>
      </c>
      <c r="C1009" t="s">
        <v>602</v>
      </c>
      <c r="D1009" t="s">
        <v>2003</v>
      </c>
      <c r="E1009" t="s">
        <v>2117</v>
      </c>
      <c r="F1009">
        <v>2089</v>
      </c>
      <c r="G1009">
        <v>225244</v>
      </c>
      <c r="H1009" t="s">
        <v>964</v>
      </c>
      <c r="I1009">
        <v>220</v>
      </c>
      <c r="J1009">
        <v>223</v>
      </c>
      <c r="K1009" t="s">
        <v>2005</v>
      </c>
      <c r="L1009" t="s">
        <v>1581</v>
      </c>
      <c r="M1009" t="s">
        <v>2118</v>
      </c>
    </row>
    <row r="1010" spans="1:13" x14ac:dyDescent="0.35">
      <c r="A1010">
        <v>101360</v>
      </c>
      <c r="B1010">
        <v>989</v>
      </c>
      <c r="C1010" t="s">
        <v>602</v>
      </c>
      <c r="D1010" t="s">
        <v>962</v>
      </c>
      <c r="E1010" t="s">
        <v>2119</v>
      </c>
      <c r="F1010">
        <v>3488</v>
      </c>
      <c r="G1010">
        <v>219791</v>
      </c>
      <c r="H1010" t="s">
        <v>964</v>
      </c>
      <c r="I1010">
        <v>220</v>
      </c>
      <c r="J1010">
        <v>221</v>
      </c>
      <c r="K1010" t="s">
        <v>979</v>
      </c>
      <c r="L1010" t="s">
        <v>980</v>
      </c>
      <c r="M1010" t="s">
        <v>2120</v>
      </c>
    </row>
    <row r="1011" spans="1:13" x14ac:dyDescent="0.35">
      <c r="A1011">
        <v>103569</v>
      </c>
      <c r="B1011">
        <v>1628</v>
      </c>
      <c r="C1011" t="s">
        <v>602</v>
      </c>
      <c r="D1011" t="s">
        <v>1066</v>
      </c>
      <c r="E1011" t="s">
        <v>2121</v>
      </c>
      <c r="F1011">
        <v>4167193</v>
      </c>
      <c r="G1011">
        <v>222954</v>
      </c>
      <c r="H1011" t="s">
        <v>964</v>
      </c>
      <c r="I1011">
        <v>220</v>
      </c>
      <c r="J1011">
        <v>225</v>
      </c>
      <c r="K1011" t="s">
        <v>1068</v>
      </c>
      <c r="L1011" t="s">
        <v>965</v>
      </c>
      <c r="M1011" t="s">
        <v>2122</v>
      </c>
    </row>
    <row r="1012" spans="1:13" x14ac:dyDescent="0.35">
      <c r="A1012">
        <v>104140</v>
      </c>
      <c r="B1012">
        <v>1242</v>
      </c>
      <c r="C1012" t="s">
        <v>602</v>
      </c>
      <c r="D1012" t="s">
        <v>962</v>
      </c>
      <c r="E1012" t="s">
        <v>2123</v>
      </c>
      <c r="F1012">
        <v>5179</v>
      </c>
      <c r="G1012">
        <v>226478</v>
      </c>
      <c r="H1012" t="s">
        <v>964</v>
      </c>
      <c r="I1012">
        <v>219</v>
      </c>
      <c r="J1012">
        <v>220</v>
      </c>
      <c r="K1012" t="s">
        <v>979</v>
      </c>
      <c r="L1012" t="s">
        <v>1581</v>
      </c>
      <c r="M1012" t="s">
        <v>2124</v>
      </c>
    </row>
    <row r="1013" spans="1:13" x14ac:dyDescent="0.35">
      <c r="A1013">
        <v>103486</v>
      </c>
      <c r="B1013">
        <v>1609</v>
      </c>
      <c r="C1013" t="s">
        <v>602</v>
      </c>
      <c r="D1013" t="s">
        <v>1066</v>
      </c>
      <c r="E1013" t="s">
        <v>2125</v>
      </c>
      <c r="F1013">
        <v>4167186</v>
      </c>
      <c r="G1013">
        <v>222820</v>
      </c>
      <c r="H1013" t="s">
        <v>964</v>
      </c>
      <c r="I1013">
        <v>219</v>
      </c>
      <c r="J1013">
        <v>224</v>
      </c>
      <c r="K1013" t="s">
        <v>1068</v>
      </c>
      <c r="L1013" t="s">
        <v>965</v>
      </c>
      <c r="M1013" t="s">
        <v>2126</v>
      </c>
    </row>
    <row r="1014" spans="1:13" x14ac:dyDescent="0.35">
      <c r="A1014">
        <v>0</v>
      </c>
      <c r="B1014">
        <v>2947</v>
      </c>
      <c r="C1014" t="s">
        <v>602</v>
      </c>
      <c r="D1014" t="s">
        <v>1301</v>
      </c>
      <c r="E1014" t="s">
        <v>2127</v>
      </c>
      <c r="F1014">
        <v>7173</v>
      </c>
      <c r="I1014">
        <v>219</v>
      </c>
      <c r="J1014">
        <v>218</v>
      </c>
      <c r="M1014" t="s">
        <v>2127</v>
      </c>
    </row>
    <row r="1015" spans="1:13" x14ac:dyDescent="0.35">
      <c r="A1015">
        <v>103846</v>
      </c>
      <c r="B1015">
        <v>1762</v>
      </c>
      <c r="C1015" t="s">
        <v>602</v>
      </c>
      <c r="D1015" t="s">
        <v>2003</v>
      </c>
      <c r="E1015" t="s">
        <v>2128</v>
      </c>
      <c r="F1015">
        <v>2090</v>
      </c>
      <c r="G1015">
        <v>225251</v>
      </c>
      <c r="H1015" t="s">
        <v>964</v>
      </c>
      <c r="I1015">
        <v>219</v>
      </c>
      <c r="J1015">
        <v>222</v>
      </c>
      <c r="K1015" t="s">
        <v>2005</v>
      </c>
      <c r="L1015" t="s">
        <v>1581</v>
      </c>
      <c r="M1015" t="s">
        <v>2129</v>
      </c>
    </row>
    <row r="1016" spans="1:13" x14ac:dyDescent="0.35">
      <c r="A1016">
        <v>0</v>
      </c>
      <c r="B1016">
        <v>2946</v>
      </c>
      <c r="C1016" t="s">
        <v>602</v>
      </c>
      <c r="D1016" t="s">
        <v>1301</v>
      </c>
      <c r="E1016" t="s">
        <v>2130</v>
      </c>
      <c r="F1016">
        <v>7172</v>
      </c>
      <c r="I1016">
        <v>218</v>
      </c>
      <c r="J1016">
        <v>217</v>
      </c>
      <c r="M1016" t="s">
        <v>2130</v>
      </c>
    </row>
    <row r="1017" spans="1:13" x14ac:dyDescent="0.35">
      <c r="A1017">
        <v>103822</v>
      </c>
      <c r="B1017">
        <v>1742</v>
      </c>
      <c r="C1017" t="s">
        <v>602</v>
      </c>
      <c r="D1017" t="s">
        <v>2003</v>
      </c>
      <c r="E1017" t="s">
        <v>2131</v>
      </c>
      <c r="F1017">
        <v>2050</v>
      </c>
      <c r="G1017">
        <v>225227</v>
      </c>
      <c r="H1017" t="s">
        <v>964</v>
      </c>
      <c r="I1017">
        <v>218</v>
      </c>
      <c r="J1017">
        <v>221</v>
      </c>
      <c r="K1017" t="s">
        <v>2005</v>
      </c>
      <c r="L1017" t="s">
        <v>1581</v>
      </c>
      <c r="M1017" t="s">
        <v>2132</v>
      </c>
    </row>
    <row r="1018" spans="1:13" x14ac:dyDescent="0.35">
      <c r="A1018">
        <v>104192</v>
      </c>
      <c r="B1018">
        <v>1253</v>
      </c>
      <c r="C1018" t="s">
        <v>602</v>
      </c>
      <c r="D1018" t="s">
        <v>962</v>
      </c>
      <c r="E1018" t="s">
        <v>2133</v>
      </c>
      <c r="F1018">
        <v>5002</v>
      </c>
      <c r="G1018">
        <v>226901</v>
      </c>
      <c r="H1018" t="s">
        <v>964</v>
      </c>
      <c r="I1018">
        <v>218</v>
      </c>
      <c r="J1018">
        <v>219</v>
      </c>
      <c r="K1018" t="s">
        <v>979</v>
      </c>
      <c r="L1018" t="s">
        <v>965</v>
      </c>
      <c r="M1018" t="s">
        <v>2134</v>
      </c>
    </row>
    <row r="1019" spans="1:13" x14ac:dyDescent="0.35">
      <c r="A1019">
        <v>103283</v>
      </c>
      <c r="B1019">
        <v>1476</v>
      </c>
      <c r="C1019" t="s">
        <v>602</v>
      </c>
      <c r="D1019" t="s">
        <v>1066</v>
      </c>
      <c r="E1019" t="s">
        <v>2135</v>
      </c>
      <c r="F1019">
        <v>4167089</v>
      </c>
      <c r="G1019">
        <v>219375</v>
      </c>
      <c r="H1019" t="s">
        <v>964</v>
      </c>
      <c r="I1019">
        <v>218</v>
      </c>
      <c r="J1019">
        <v>223</v>
      </c>
      <c r="K1019" t="s">
        <v>1068</v>
      </c>
      <c r="L1019" t="s">
        <v>965</v>
      </c>
      <c r="M1019" t="s">
        <v>2136</v>
      </c>
    </row>
    <row r="1020" spans="1:13" x14ac:dyDescent="0.35">
      <c r="A1020">
        <v>103821</v>
      </c>
      <c r="B1020">
        <v>1741</v>
      </c>
      <c r="C1020" t="s">
        <v>602</v>
      </c>
      <c r="D1020" t="s">
        <v>2003</v>
      </c>
      <c r="E1020" t="s">
        <v>2137</v>
      </c>
      <c r="F1020">
        <v>2051</v>
      </c>
      <c r="G1020">
        <v>287</v>
      </c>
      <c r="H1020" t="s">
        <v>964</v>
      </c>
      <c r="I1020">
        <v>217</v>
      </c>
      <c r="J1020">
        <v>220</v>
      </c>
      <c r="K1020" t="s">
        <v>2005</v>
      </c>
      <c r="L1020" t="s">
        <v>1581</v>
      </c>
      <c r="M1020" t="s">
        <v>2138</v>
      </c>
    </row>
    <row r="1021" spans="1:13" x14ac:dyDescent="0.35">
      <c r="A1021">
        <v>101408</v>
      </c>
      <c r="B1021">
        <v>1028</v>
      </c>
      <c r="C1021" t="s">
        <v>602</v>
      </c>
      <c r="D1021" t="s">
        <v>962</v>
      </c>
      <c r="E1021" t="s">
        <v>2139</v>
      </c>
      <c r="F1021">
        <v>3470</v>
      </c>
      <c r="G1021">
        <v>220906</v>
      </c>
      <c r="H1021" t="s">
        <v>964</v>
      </c>
      <c r="I1021">
        <v>217</v>
      </c>
      <c r="J1021">
        <v>218</v>
      </c>
      <c r="K1021" t="s">
        <v>1051</v>
      </c>
      <c r="L1021" t="s">
        <v>965</v>
      </c>
      <c r="M1021" t="s">
        <v>2140</v>
      </c>
    </row>
    <row r="1022" spans="1:13" x14ac:dyDescent="0.35">
      <c r="A1022">
        <v>0</v>
      </c>
      <c r="B1022">
        <v>2945</v>
      </c>
      <c r="C1022" t="s">
        <v>602</v>
      </c>
      <c r="D1022" t="s">
        <v>1301</v>
      </c>
      <c r="E1022" t="s">
        <v>2141</v>
      </c>
      <c r="F1022">
        <v>7171</v>
      </c>
      <c r="I1022">
        <v>217</v>
      </c>
      <c r="J1022">
        <v>216</v>
      </c>
      <c r="M1022" t="s">
        <v>2141</v>
      </c>
    </row>
    <row r="1023" spans="1:13" x14ac:dyDescent="0.35">
      <c r="A1023">
        <v>103267</v>
      </c>
      <c r="B1023">
        <v>1465</v>
      </c>
      <c r="C1023" t="s">
        <v>602</v>
      </c>
      <c r="D1023" t="s">
        <v>1066</v>
      </c>
      <c r="E1023" t="s">
        <v>2142</v>
      </c>
      <c r="F1023">
        <v>4167096</v>
      </c>
      <c r="G1023">
        <v>222382</v>
      </c>
      <c r="H1023" t="s">
        <v>964</v>
      </c>
      <c r="I1023">
        <v>217</v>
      </c>
      <c r="J1023">
        <v>221</v>
      </c>
      <c r="K1023" t="s">
        <v>1068</v>
      </c>
      <c r="L1023" t="s">
        <v>965</v>
      </c>
      <c r="M1023" t="s">
        <v>2143</v>
      </c>
    </row>
    <row r="1024" spans="1:13" x14ac:dyDescent="0.35">
      <c r="A1024">
        <v>0</v>
      </c>
      <c r="B1024">
        <v>2944</v>
      </c>
      <c r="C1024" t="s">
        <v>602</v>
      </c>
      <c r="D1024" t="s">
        <v>1301</v>
      </c>
      <c r="E1024" t="s">
        <v>2144</v>
      </c>
      <c r="F1024">
        <v>7170</v>
      </c>
      <c r="I1024">
        <v>216</v>
      </c>
      <c r="J1024">
        <v>215</v>
      </c>
      <c r="M1024" t="s">
        <v>2144</v>
      </c>
    </row>
    <row r="1025" spans="1:13" x14ac:dyDescent="0.35">
      <c r="A1025">
        <v>104282</v>
      </c>
      <c r="B1025">
        <v>1768</v>
      </c>
      <c r="C1025" t="s">
        <v>602</v>
      </c>
      <c r="D1025" t="s">
        <v>2003</v>
      </c>
      <c r="E1025" t="s">
        <v>2145</v>
      </c>
      <c r="F1025">
        <v>2052</v>
      </c>
      <c r="G1025">
        <v>227662</v>
      </c>
      <c r="H1025" t="s">
        <v>964</v>
      </c>
      <c r="I1025">
        <v>216</v>
      </c>
      <c r="J1025">
        <v>219</v>
      </c>
      <c r="K1025" t="s">
        <v>1283</v>
      </c>
      <c r="L1025" t="s">
        <v>1581</v>
      </c>
      <c r="M1025" t="s">
        <v>2146</v>
      </c>
    </row>
    <row r="1026" spans="1:13" x14ac:dyDescent="0.35">
      <c r="A1026">
        <v>103309</v>
      </c>
      <c r="B1026">
        <v>1497</v>
      </c>
      <c r="C1026" t="s">
        <v>602</v>
      </c>
      <c r="D1026" t="s">
        <v>1066</v>
      </c>
      <c r="E1026" t="s">
        <v>2147</v>
      </c>
      <c r="F1026">
        <v>4167095</v>
      </c>
      <c r="G1026">
        <v>220674</v>
      </c>
      <c r="H1026" t="s">
        <v>964</v>
      </c>
      <c r="I1026">
        <v>216</v>
      </c>
      <c r="J1026">
        <v>220</v>
      </c>
      <c r="K1026" t="s">
        <v>1068</v>
      </c>
      <c r="L1026" t="s">
        <v>965</v>
      </c>
      <c r="M1026" t="s">
        <v>2148</v>
      </c>
    </row>
    <row r="1027" spans="1:13" x14ac:dyDescent="0.35">
      <c r="A1027">
        <v>101482</v>
      </c>
      <c r="B1027">
        <v>1082</v>
      </c>
      <c r="C1027" t="s">
        <v>602</v>
      </c>
      <c r="D1027" t="s">
        <v>962</v>
      </c>
      <c r="E1027" t="s">
        <v>2149</v>
      </c>
      <c r="F1027">
        <v>3587</v>
      </c>
      <c r="G1027">
        <v>221341</v>
      </c>
      <c r="H1027" t="s">
        <v>964</v>
      </c>
      <c r="I1027">
        <v>216</v>
      </c>
      <c r="J1027">
        <v>217</v>
      </c>
      <c r="K1027" t="s">
        <v>979</v>
      </c>
      <c r="L1027" t="s">
        <v>965</v>
      </c>
      <c r="M1027" t="s">
        <v>2150</v>
      </c>
    </row>
    <row r="1028" spans="1:13" x14ac:dyDescent="0.35">
      <c r="A1028">
        <v>103876</v>
      </c>
      <c r="B1028">
        <v>1224</v>
      </c>
      <c r="C1028" t="s">
        <v>602</v>
      </c>
      <c r="D1028" t="s">
        <v>962</v>
      </c>
      <c r="E1028" t="s">
        <v>2151</v>
      </c>
      <c r="F1028">
        <v>4877</v>
      </c>
      <c r="G1028">
        <v>225299</v>
      </c>
      <c r="H1028" t="s">
        <v>964</v>
      </c>
      <c r="I1028">
        <v>215</v>
      </c>
      <c r="J1028">
        <v>216</v>
      </c>
      <c r="K1028" t="s">
        <v>979</v>
      </c>
      <c r="L1028" t="s">
        <v>965</v>
      </c>
      <c r="M1028" t="s">
        <v>2152</v>
      </c>
    </row>
    <row r="1029" spans="1:13" x14ac:dyDescent="0.35">
      <c r="A1029">
        <v>0</v>
      </c>
      <c r="B1029">
        <v>2943</v>
      </c>
      <c r="C1029" t="s">
        <v>602</v>
      </c>
      <c r="D1029" t="s">
        <v>1301</v>
      </c>
      <c r="E1029" t="s">
        <v>2153</v>
      </c>
      <c r="F1029">
        <v>7169</v>
      </c>
      <c r="I1029">
        <v>215</v>
      </c>
      <c r="J1029">
        <v>214</v>
      </c>
      <c r="M1029" t="s">
        <v>2153</v>
      </c>
    </row>
    <row r="1030" spans="1:13" x14ac:dyDescent="0.35">
      <c r="A1030">
        <v>103244</v>
      </c>
      <c r="B1030">
        <v>1452</v>
      </c>
      <c r="C1030" t="s">
        <v>602</v>
      </c>
      <c r="D1030" t="s">
        <v>1066</v>
      </c>
      <c r="E1030" t="s">
        <v>2154</v>
      </c>
      <c r="F1030">
        <v>4167133</v>
      </c>
      <c r="G1030">
        <v>222336</v>
      </c>
      <c r="H1030" t="s">
        <v>964</v>
      </c>
      <c r="I1030">
        <v>215</v>
      </c>
      <c r="J1030">
        <v>219</v>
      </c>
      <c r="K1030" t="s">
        <v>2155</v>
      </c>
      <c r="L1030" t="s">
        <v>965</v>
      </c>
      <c r="M1030" t="s">
        <v>2156</v>
      </c>
    </row>
    <row r="1031" spans="1:13" x14ac:dyDescent="0.35">
      <c r="A1031">
        <v>103814</v>
      </c>
      <c r="B1031">
        <v>1734</v>
      </c>
      <c r="C1031" t="s">
        <v>602</v>
      </c>
      <c r="D1031" t="s">
        <v>2003</v>
      </c>
      <c r="E1031" t="s">
        <v>2157</v>
      </c>
      <c r="F1031">
        <v>2055</v>
      </c>
      <c r="G1031">
        <v>225221</v>
      </c>
      <c r="H1031" t="s">
        <v>964</v>
      </c>
      <c r="I1031">
        <v>215</v>
      </c>
      <c r="J1031">
        <v>218</v>
      </c>
      <c r="K1031" t="s">
        <v>2005</v>
      </c>
      <c r="L1031" t="s">
        <v>1581</v>
      </c>
      <c r="M1031" t="s">
        <v>2158</v>
      </c>
    </row>
    <row r="1032" spans="1:13" x14ac:dyDescent="0.35">
      <c r="A1032">
        <v>0</v>
      </c>
      <c r="B1032">
        <v>2942</v>
      </c>
      <c r="C1032" t="s">
        <v>602</v>
      </c>
      <c r="D1032" t="s">
        <v>1301</v>
      </c>
      <c r="E1032" t="s">
        <v>2159</v>
      </c>
      <c r="F1032">
        <v>7168</v>
      </c>
      <c r="I1032">
        <v>214</v>
      </c>
      <c r="J1032">
        <v>213</v>
      </c>
      <c r="M1032" t="s">
        <v>2159</v>
      </c>
    </row>
    <row r="1033" spans="1:13" x14ac:dyDescent="0.35">
      <c r="A1033">
        <v>101376</v>
      </c>
      <c r="B1033">
        <v>1002</v>
      </c>
      <c r="C1033" t="s">
        <v>602</v>
      </c>
      <c r="D1033" t="s">
        <v>962</v>
      </c>
      <c r="E1033" t="s">
        <v>2160</v>
      </c>
      <c r="F1033">
        <v>3487</v>
      </c>
      <c r="G1033">
        <v>219795</v>
      </c>
      <c r="H1033" t="s">
        <v>964</v>
      </c>
      <c r="I1033">
        <v>214</v>
      </c>
      <c r="J1033">
        <v>215</v>
      </c>
      <c r="K1033" t="s">
        <v>1051</v>
      </c>
      <c r="L1033" t="s">
        <v>980</v>
      </c>
      <c r="M1033" t="s">
        <v>2161</v>
      </c>
    </row>
    <row r="1034" spans="1:13" x14ac:dyDescent="0.35">
      <c r="A1034">
        <v>103818</v>
      </c>
      <c r="B1034">
        <v>1738</v>
      </c>
      <c r="C1034" t="s">
        <v>602</v>
      </c>
      <c r="D1034" t="s">
        <v>2003</v>
      </c>
      <c r="E1034" t="s">
        <v>2162</v>
      </c>
      <c r="F1034">
        <v>2058</v>
      </c>
      <c r="G1034">
        <v>225225</v>
      </c>
      <c r="H1034" t="s">
        <v>964</v>
      </c>
      <c r="I1034">
        <v>214</v>
      </c>
      <c r="J1034">
        <v>217</v>
      </c>
      <c r="K1034" t="s">
        <v>2005</v>
      </c>
      <c r="L1034" t="s">
        <v>1581</v>
      </c>
      <c r="M1034" t="s">
        <v>2163</v>
      </c>
    </row>
    <row r="1035" spans="1:13" x14ac:dyDescent="0.35">
      <c r="A1035">
        <v>103353</v>
      </c>
      <c r="B1035">
        <v>1518</v>
      </c>
      <c r="C1035" t="s">
        <v>602</v>
      </c>
      <c r="D1035" t="s">
        <v>1066</v>
      </c>
      <c r="E1035" t="s">
        <v>2164</v>
      </c>
      <c r="F1035">
        <v>4168015</v>
      </c>
      <c r="G1035">
        <v>222617</v>
      </c>
      <c r="H1035" t="s">
        <v>964</v>
      </c>
      <c r="I1035">
        <v>214</v>
      </c>
      <c r="J1035">
        <v>218</v>
      </c>
      <c r="K1035" t="s">
        <v>2155</v>
      </c>
      <c r="L1035" t="s">
        <v>965</v>
      </c>
      <c r="M1035" t="s">
        <v>2165</v>
      </c>
    </row>
    <row r="1036" spans="1:13" x14ac:dyDescent="0.35">
      <c r="A1036">
        <v>104237</v>
      </c>
      <c r="B1036">
        <v>1269</v>
      </c>
      <c r="C1036" t="s">
        <v>602</v>
      </c>
      <c r="D1036" t="s">
        <v>962</v>
      </c>
      <c r="E1036" t="s">
        <v>2166</v>
      </c>
      <c r="F1036">
        <v>5396</v>
      </c>
      <c r="G1036">
        <v>227356</v>
      </c>
      <c r="H1036" t="s">
        <v>964</v>
      </c>
      <c r="I1036">
        <v>213</v>
      </c>
      <c r="J1036">
        <v>214</v>
      </c>
      <c r="K1036" t="s">
        <v>979</v>
      </c>
      <c r="L1036" t="s">
        <v>965</v>
      </c>
      <c r="M1036" t="s">
        <v>2167</v>
      </c>
    </row>
    <row r="1037" spans="1:13" x14ac:dyDescent="0.35">
      <c r="A1037">
        <v>0</v>
      </c>
      <c r="B1037">
        <v>2941</v>
      </c>
      <c r="C1037" t="s">
        <v>602</v>
      </c>
      <c r="D1037" t="s">
        <v>1301</v>
      </c>
      <c r="E1037" t="s">
        <v>2168</v>
      </c>
      <c r="F1037">
        <v>7167</v>
      </c>
      <c r="I1037">
        <v>213</v>
      </c>
      <c r="J1037">
        <v>212</v>
      </c>
      <c r="M1037" t="s">
        <v>2168</v>
      </c>
    </row>
    <row r="1038" spans="1:13" x14ac:dyDescent="0.35">
      <c r="A1038">
        <v>103817</v>
      </c>
      <c r="B1038">
        <v>1737</v>
      </c>
      <c r="C1038" t="s">
        <v>602</v>
      </c>
      <c r="D1038" t="s">
        <v>2003</v>
      </c>
      <c r="E1038" t="s">
        <v>2169</v>
      </c>
      <c r="F1038">
        <v>2062</v>
      </c>
      <c r="G1038">
        <v>225224</v>
      </c>
      <c r="H1038" t="s">
        <v>964</v>
      </c>
      <c r="I1038">
        <v>213</v>
      </c>
      <c r="J1038">
        <v>216</v>
      </c>
      <c r="K1038" t="s">
        <v>2079</v>
      </c>
      <c r="L1038" t="s">
        <v>1581</v>
      </c>
      <c r="M1038" t="s">
        <v>2170</v>
      </c>
    </row>
    <row r="1039" spans="1:13" x14ac:dyDescent="0.35">
      <c r="A1039">
        <v>103436</v>
      </c>
      <c r="B1039">
        <v>1579</v>
      </c>
      <c r="C1039" t="s">
        <v>602</v>
      </c>
      <c r="D1039" t="s">
        <v>1066</v>
      </c>
      <c r="E1039" t="s">
        <v>2171</v>
      </c>
      <c r="F1039">
        <v>4168001</v>
      </c>
      <c r="G1039">
        <v>222731</v>
      </c>
      <c r="H1039" t="s">
        <v>964</v>
      </c>
      <c r="I1039">
        <v>213</v>
      </c>
      <c r="J1039">
        <v>217</v>
      </c>
      <c r="K1039" t="s">
        <v>2155</v>
      </c>
      <c r="L1039" t="s">
        <v>980</v>
      </c>
      <c r="M1039" t="s">
        <v>2172</v>
      </c>
    </row>
    <row r="1040" spans="1:13" x14ac:dyDescent="0.35">
      <c r="A1040">
        <v>103257</v>
      </c>
      <c r="B1040">
        <v>1461</v>
      </c>
      <c r="C1040" t="s">
        <v>602</v>
      </c>
      <c r="D1040" t="s">
        <v>1066</v>
      </c>
      <c r="E1040" t="s">
        <v>2173</v>
      </c>
      <c r="F1040">
        <v>4167178</v>
      </c>
      <c r="G1040">
        <v>220630</v>
      </c>
      <c r="H1040" t="s">
        <v>964</v>
      </c>
      <c r="I1040">
        <v>212</v>
      </c>
      <c r="J1040">
        <v>216</v>
      </c>
      <c r="K1040" t="s">
        <v>2155</v>
      </c>
      <c r="L1040" t="s">
        <v>965</v>
      </c>
      <c r="M1040" t="s">
        <v>2174</v>
      </c>
    </row>
    <row r="1041" spans="1:13" x14ac:dyDescent="0.35">
      <c r="A1041">
        <v>101548</v>
      </c>
      <c r="B1041">
        <v>1141</v>
      </c>
      <c r="C1041" t="s">
        <v>602</v>
      </c>
      <c r="D1041" t="s">
        <v>962</v>
      </c>
      <c r="E1041" t="s">
        <v>2175</v>
      </c>
      <c r="F1041">
        <v>3810</v>
      </c>
      <c r="G1041">
        <v>221998</v>
      </c>
      <c r="H1041" t="s">
        <v>964</v>
      </c>
      <c r="I1041">
        <v>212</v>
      </c>
      <c r="J1041">
        <v>213</v>
      </c>
      <c r="K1041" t="s">
        <v>979</v>
      </c>
      <c r="L1041" t="s">
        <v>965</v>
      </c>
      <c r="M1041" t="s">
        <v>2176</v>
      </c>
    </row>
    <row r="1042" spans="1:13" x14ac:dyDescent="0.35">
      <c r="A1042">
        <v>103816</v>
      </c>
      <c r="B1042">
        <v>1736</v>
      </c>
      <c r="C1042" t="s">
        <v>602</v>
      </c>
      <c r="D1042" t="s">
        <v>2003</v>
      </c>
      <c r="E1042" t="s">
        <v>2177</v>
      </c>
      <c r="F1042">
        <v>2064</v>
      </c>
      <c r="G1042">
        <v>219748</v>
      </c>
      <c r="H1042" t="s">
        <v>964</v>
      </c>
      <c r="I1042">
        <v>212</v>
      </c>
      <c r="J1042">
        <v>215</v>
      </c>
      <c r="K1042" t="s">
        <v>2005</v>
      </c>
      <c r="L1042" t="s">
        <v>1581</v>
      </c>
      <c r="M1042" t="s">
        <v>2178</v>
      </c>
    </row>
    <row r="1043" spans="1:13" x14ac:dyDescent="0.35">
      <c r="A1043">
        <v>0</v>
      </c>
      <c r="B1043">
        <v>2940</v>
      </c>
      <c r="C1043" t="s">
        <v>602</v>
      </c>
      <c r="D1043" t="s">
        <v>1301</v>
      </c>
      <c r="E1043" t="s">
        <v>2179</v>
      </c>
      <c r="F1043">
        <v>7166</v>
      </c>
      <c r="I1043">
        <v>212</v>
      </c>
      <c r="J1043">
        <v>211</v>
      </c>
      <c r="M1043" t="s">
        <v>2179</v>
      </c>
    </row>
    <row r="1044" spans="1:13" x14ac:dyDescent="0.35">
      <c r="A1044">
        <v>103302</v>
      </c>
      <c r="B1044">
        <v>1490</v>
      </c>
      <c r="C1044" t="s">
        <v>597</v>
      </c>
      <c r="D1044" t="s">
        <v>1066</v>
      </c>
      <c r="E1044" t="s">
        <v>2180</v>
      </c>
      <c r="F1044">
        <v>4166504</v>
      </c>
      <c r="G1044">
        <v>222445</v>
      </c>
      <c r="H1044" t="s">
        <v>964</v>
      </c>
      <c r="I1044">
        <v>211</v>
      </c>
      <c r="J1044">
        <v>215</v>
      </c>
      <c r="K1044" t="s">
        <v>2181</v>
      </c>
      <c r="L1044" t="s">
        <v>965</v>
      </c>
      <c r="M1044" t="s">
        <v>2182</v>
      </c>
    </row>
    <row r="1045" spans="1:13" x14ac:dyDescent="0.35">
      <c r="A1045">
        <v>103815</v>
      </c>
      <c r="B1045">
        <v>1735</v>
      </c>
      <c r="C1045" t="s">
        <v>602</v>
      </c>
      <c r="D1045" t="s">
        <v>2003</v>
      </c>
      <c r="E1045" t="s">
        <v>2183</v>
      </c>
      <c r="F1045">
        <v>2065</v>
      </c>
      <c r="G1045">
        <v>225223</v>
      </c>
      <c r="H1045" t="s">
        <v>964</v>
      </c>
      <c r="I1045">
        <v>211</v>
      </c>
      <c r="J1045">
        <v>214</v>
      </c>
      <c r="K1045" t="s">
        <v>2079</v>
      </c>
      <c r="L1045" t="s">
        <v>1581</v>
      </c>
      <c r="M1045" t="s">
        <v>2184</v>
      </c>
    </row>
    <row r="1046" spans="1:13" x14ac:dyDescent="0.35">
      <c r="A1046">
        <v>0</v>
      </c>
      <c r="B1046">
        <v>2939</v>
      </c>
      <c r="C1046" t="s">
        <v>602</v>
      </c>
      <c r="D1046" t="s">
        <v>1301</v>
      </c>
      <c r="E1046" t="s">
        <v>2185</v>
      </c>
      <c r="F1046">
        <v>7165</v>
      </c>
      <c r="I1046">
        <v>211</v>
      </c>
      <c r="J1046">
        <v>210</v>
      </c>
      <c r="M1046" t="s">
        <v>2185</v>
      </c>
    </row>
    <row r="1047" spans="1:13" x14ac:dyDescent="0.35">
      <c r="A1047">
        <v>104253</v>
      </c>
      <c r="B1047">
        <v>1274</v>
      </c>
      <c r="C1047" t="s">
        <v>602</v>
      </c>
      <c r="D1047" t="s">
        <v>962</v>
      </c>
      <c r="E1047" t="s">
        <v>2186</v>
      </c>
      <c r="F1047">
        <v>5356</v>
      </c>
      <c r="G1047">
        <v>227480</v>
      </c>
      <c r="H1047" t="s">
        <v>964</v>
      </c>
      <c r="I1047">
        <v>211</v>
      </c>
      <c r="J1047">
        <v>212</v>
      </c>
      <c r="K1047" t="s">
        <v>979</v>
      </c>
      <c r="L1047" t="s">
        <v>965</v>
      </c>
      <c r="M1047" t="s">
        <v>2187</v>
      </c>
    </row>
    <row r="1048" spans="1:13" x14ac:dyDescent="0.35">
      <c r="A1048">
        <v>0</v>
      </c>
      <c r="B1048">
        <v>2938</v>
      </c>
      <c r="C1048" t="s">
        <v>602</v>
      </c>
      <c r="D1048" t="s">
        <v>1301</v>
      </c>
      <c r="E1048" t="s">
        <v>2188</v>
      </c>
      <c r="F1048">
        <v>7164</v>
      </c>
      <c r="I1048">
        <v>210</v>
      </c>
      <c r="J1048">
        <v>209</v>
      </c>
      <c r="M1048" t="s">
        <v>2188</v>
      </c>
    </row>
    <row r="1049" spans="1:13" x14ac:dyDescent="0.35">
      <c r="A1049">
        <v>103702</v>
      </c>
      <c r="B1049">
        <v>1208</v>
      </c>
      <c r="C1049" t="s">
        <v>602</v>
      </c>
      <c r="D1049" t="s">
        <v>962</v>
      </c>
      <c r="E1049" t="s">
        <v>2189</v>
      </c>
      <c r="F1049">
        <v>4006</v>
      </c>
      <c r="G1049">
        <v>223195</v>
      </c>
      <c r="H1049" t="s">
        <v>964</v>
      </c>
      <c r="I1049">
        <v>210</v>
      </c>
      <c r="J1049">
        <v>211</v>
      </c>
      <c r="K1049" t="s">
        <v>979</v>
      </c>
      <c r="L1049" t="s">
        <v>965</v>
      </c>
      <c r="M1049" t="s">
        <v>2190</v>
      </c>
    </row>
    <row r="1050" spans="1:13" x14ac:dyDescent="0.35">
      <c r="A1050">
        <v>103305</v>
      </c>
      <c r="B1050">
        <v>1493</v>
      </c>
      <c r="C1050" t="s">
        <v>602</v>
      </c>
      <c r="D1050" t="s">
        <v>1066</v>
      </c>
      <c r="E1050" t="s">
        <v>2191</v>
      </c>
      <c r="F1050">
        <v>4167202</v>
      </c>
      <c r="G1050">
        <v>219981</v>
      </c>
      <c r="H1050" t="s">
        <v>964</v>
      </c>
      <c r="I1050">
        <v>210</v>
      </c>
      <c r="J1050">
        <v>214</v>
      </c>
      <c r="K1050" t="s">
        <v>2155</v>
      </c>
      <c r="L1050" t="s">
        <v>965</v>
      </c>
      <c r="M1050" t="s">
        <v>2192</v>
      </c>
    </row>
    <row r="1051" spans="1:13" x14ac:dyDescent="0.35">
      <c r="A1051">
        <v>103805</v>
      </c>
      <c r="B1051">
        <v>1728</v>
      </c>
      <c r="C1051" t="s">
        <v>602</v>
      </c>
      <c r="D1051" t="s">
        <v>2003</v>
      </c>
      <c r="E1051" t="s">
        <v>2193</v>
      </c>
      <c r="F1051">
        <v>2035</v>
      </c>
      <c r="G1051">
        <v>225218</v>
      </c>
      <c r="H1051" t="s">
        <v>964</v>
      </c>
      <c r="I1051">
        <v>210</v>
      </c>
      <c r="J1051">
        <v>213</v>
      </c>
      <c r="K1051" t="s">
        <v>2079</v>
      </c>
      <c r="L1051" t="s">
        <v>1581</v>
      </c>
      <c r="M1051" t="s">
        <v>2194</v>
      </c>
    </row>
    <row r="1052" spans="1:13" x14ac:dyDescent="0.35">
      <c r="A1052">
        <v>0</v>
      </c>
      <c r="B1052">
        <v>2937</v>
      </c>
      <c r="C1052" t="s">
        <v>602</v>
      </c>
      <c r="D1052" t="s">
        <v>1301</v>
      </c>
      <c r="E1052" t="s">
        <v>2195</v>
      </c>
      <c r="F1052">
        <v>7163</v>
      </c>
      <c r="I1052">
        <v>209</v>
      </c>
      <c r="J1052">
        <v>208</v>
      </c>
      <c r="M1052" t="s">
        <v>2195</v>
      </c>
    </row>
    <row r="1053" spans="1:13" x14ac:dyDescent="0.35">
      <c r="A1053">
        <v>103806</v>
      </c>
      <c r="B1053">
        <v>1729</v>
      </c>
      <c r="C1053" t="s">
        <v>602</v>
      </c>
      <c r="D1053" t="s">
        <v>2003</v>
      </c>
      <c r="E1053" t="s">
        <v>2196</v>
      </c>
      <c r="F1053">
        <v>2040</v>
      </c>
      <c r="G1053">
        <v>225217</v>
      </c>
      <c r="H1053" t="s">
        <v>964</v>
      </c>
      <c r="I1053">
        <v>209</v>
      </c>
      <c r="J1053">
        <v>212</v>
      </c>
      <c r="K1053" t="s">
        <v>2079</v>
      </c>
      <c r="L1053" t="s">
        <v>1581</v>
      </c>
      <c r="M1053" t="s">
        <v>2197</v>
      </c>
    </row>
    <row r="1054" spans="1:13" x14ac:dyDescent="0.35">
      <c r="A1054">
        <v>103365</v>
      </c>
      <c r="B1054">
        <v>1526</v>
      </c>
      <c r="C1054" t="s">
        <v>602</v>
      </c>
      <c r="D1054" t="s">
        <v>1066</v>
      </c>
      <c r="E1054" t="s">
        <v>2198</v>
      </c>
      <c r="F1054">
        <v>4166505</v>
      </c>
      <c r="G1054">
        <v>222630</v>
      </c>
      <c r="H1054" t="s">
        <v>964</v>
      </c>
      <c r="I1054">
        <v>209</v>
      </c>
      <c r="J1054">
        <v>213</v>
      </c>
      <c r="K1054" t="s">
        <v>1068</v>
      </c>
      <c r="L1054" t="s">
        <v>965</v>
      </c>
      <c r="M1054" t="s">
        <v>2199</v>
      </c>
    </row>
    <row r="1055" spans="1:13" x14ac:dyDescent="0.35">
      <c r="A1055">
        <v>101539</v>
      </c>
      <c r="B1055">
        <v>1133</v>
      </c>
      <c r="C1055" t="s">
        <v>602</v>
      </c>
      <c r="D1055" t="s">
        <v>962</v>
      </c>
      <c r="E1055" t="s">
        <v>2200</v>
      </c>
      <c r="F1055">
        <v>3789</v>
      </c>
      <c r="G1055">
        <v>221911</v>
      </c>
      <c r="H1055" t="s">
        <v>964</v>
      </c>
      <c r="I1055">
        <v>209</v>
      </c>
      <c r="J1055">
        <v>210</v>
      </c>
      <c r="K1055" t="s">
        <v>979</v>
      </c>
      <c r="L1055" t="s">
        <v>965</v>
      </c>
      <c r="M1055" t="s">
        <v>2201</v>
      </c>
    </row>
    <row r="1056" spans="1:13" x14ac:dyDescent="0.35">
      <c r="A1056">
        <v>103463</v>
      </c>
      <c r="B1056">
        <v>1599</v>
      </c>
      <c r="C1056" t="s">
        <v>602</v>
      </c>
      <c r="D1056" t="s">
        <v>1066</v>
      </c>
      <c r="E1056" t="s">
        <v>2202</v>
      </c>
      <c r="F1056">
        <v>4168145</v>
      </c>
      <c r="G1056">
        <v>222776</v>
      </c>
      <c r="H1056" t="s">
        <v>964</v>
      </c>
      <c r="I1056">
        <v>208</v>
      </c>
      <c r="J1056">
        <v>212</v>
      </c>
      <c r="K1056" t="s">
        <v>2155</v>
      </c>
      <c r="L1056" t="s">
        <v>965</v>
      </c>
      <c r="M1056" t="s">
        <v>2203</v>
      </c>
    </row>
    <row r="1057" spans="1:13" x14ac:dyDescent="0.35">
      <c r="A1057">
        <v>104015</v>
      </c>
      <c r="B1057">
        <v>1233</v>
      </c>
      <c r="C1057" t="s">
        <v>602</v>
      </c>
      <c r="D1057" t="s">
        <v>962</v>
      </c>
      <c r="E1057" t="s">
        <v>2204</v>
      </c>
      <c r="F1057">
        <v>4859</v>
      </c>
      <c r="G1057">
        <v>226053</v>
      </c>
      <c r="H1057" t="s">
        <v>964</v>
      </c>
      <c r="I1057">
        <v>208</v>
      </c>
      <c r="J1057">
        <v>209</v>
      </c>
      <c r="K1057" t="s">
        <v>979</v>
      </c>
      <c r="L1057" t="s">
        <v>965</v>
      </c>
      <c r="M1057" t="s">
        <v>2205</v>
      </c>
    </row>
    <row r="1058" spans="1:13" x14ac:dyDescent="0.35">
      <c r="A1058">
        <v>0</v>
      </c>
      <c r="B1058">
        <v>2936</v>
      </c>
      <c r="C1058" t="s">
        <v>602</v>
      </c>
      <c r="D1058" t="s">
        <v>1301</v>
      </c>
      <c r="E1058" t="s">
        <v>2206</v>
      </c>
      <c r="F1058">
        <v>7162</v>
      </c>
      <c r="I1058">
        <v>208</v>
      </c>
      <c r="J1058">
        <v>207</v>
      </c>
      <c r="M1058" t="s">
        <v>2206</v>
      </c>
    </row>
    <row r="1059" spans="1:13" x14ac:dyDescent="0.35">
      <c r="A1059">
        <v>103807</v>
      </c>
      <c r="B1059">
        <v>1730</v>
      </c>
      <c r="C1059" t="s">
        <v>602</v>
      </c>
      <c r="D1059" t="s">
        <v>2003</v>
      </c>
      <c r="E1059" t="s">
        <v>2207</v>
      </c>
      <c r="F1059">
        <v>2041</v>
      </c>
      <c r="G1059">
        <v>225216</v>
      </c>
      <c r="H1059" t="s">
        <v>964</v>
      </c>
      <c r="I1059">
        <v>208</v>
      </c>
      <c r="J1059">
        <v>211</v>
      </c>
      <c r="K1059" t="s">
        <v>2005</v>
      </c>
      <c r="L1059" t="s">
        <v>1581</v>
      </c>
      <c r="M1059" t="s">
        <v>2208</v>
      </c>
    </row>
    <row r="1060" spans="1:13" x14ac:dyDescent="0.35">
      <c r="A1060">
        <v>0</v>
      </c>
      <c r="B1060">
        <v>2935</v>
      </c>
      <c r="C1060" t="s">
        <v>602</v>
      </c>
      <c r="D1060" t="s">
        <v>1301</v>
      </c>
      <c r="E1060" t="s">
        <v>2209</v>
      </c>
      <c r="F1060">
        <v>7161</v>
      </c>
      <c r="I1060">
        <v>207</v>
      </c>
      <c r="J1060">
        <v>206</v>
      </c>
      <c r="M1060" t="s">
        <v>2209</v>
      </c>
    </row>
    <row r="1061" spans="1:13" x14ac:dyDescent="0.35">
      <c r="A1061">
        <v>103363</v>
      </c>
      <c r="B1061">
        <v>1524</v>
      </c>
      <c r="C1061" t="s">
        <v>602</v>
      </c>
      <c r="D1061" t="s">
        <v>1066</v>
      </c>
      <c r="E1061" t="s">
        <v>2210</v>
      </c>
      <c r="F1061">
        <v>4167188</v>
      </c>
      <c r="G1061">
        <v>220941</v>
      </c>
      <c r="H1061" t="s">
        <v>964</v>
      </c>
      <c r="I1061">
        <v>207</v>
      </c>
      <c r="J1061">
        <v>211</v>
      </c>
      <c r="K1061" t="s">
        <v>2155</v>
      </c>
      <c r="L1061" t="s">
        <v>965</v>
      </c>
      <c r="M1061" t="s">
        <v>2211</v>
      </c>
    </row>
    <row r="1062" spans="1:13" x14ac:dyDescent="0.35">
      <c r="A1062">
        <v>103808</v>
      </c>
      <c r="B1062">
        <v>1731</v>
      </c>
      <c r="C1062" t="s">
        <v>602</v>
      </c>
      <c r="D1062" t="s">
        <v>2003</v>
      </c>
      <c r="E1062" t="s">
        <v>2212</v>
      </c>
      <c r="F1062">
        <v>2042</v>
      </c>
      <c r="G1062">
        <v>225214</v>
      </c>
      <c r="H1062" t="s">
        <v>964</v>
      </c>
      <c r="I1062">
        <v>207</v>
      </c>
      <c r="J1062">
        <v>210</v>
      </c>
      <c r="K1062" t="s">
        <v>2079</v>
      </c>
      <c r="L1062" t="s">
        <v>1581</v>
      </c>
      <c r="M1062" t="s">
        <v>2213</v>
      </c>
    </row>
    <row r="1063" spans="1:13" x14ac:dyDescent="0.35">
      <c r="A1063">
        <v>101359</v>
      </c>
      <c r="B1063">
        <v>988</v>
      </c>
      <c r="C1063" t="s">
        <v>602</v>
      </c>
      <c r="D1063" t="s">
        <v>962</v>
      </c>
      <c r="E1063" t="s">
        <v>2214</v>
      </c>
      <c r="F1063">
        <v>3452</v>
      </c>
      <c r="G1063">
        <v>219758</v>
      </c>
      <c r="H1063" t="s">
        <v>964</v>
      </c>
      <c r="I1063">
        <v>207</v>
      </c>
      <c r="J1063">
        <v>208</v>
      </c>
      <c r="K1063" t="s">
        <v>1051</v>
      </c>
      <c r="L1063" t="s">
        <v>965</v>
      </c>
      <c r="M1063" t="s">
        <v>2215</v>
      </c>
    </row>
    <row r="1064" spans="1:13" x14ac:dyDescent="0.35">
      <c r="A1064">
        <v>101534</v>
      </c>
      <c r="B1064">
        <v>1128</v>
      </c>
      <c r="C1064" t="s">
        <v>602</v>
      </c>
      <c r="D1064" t="s">
        <v>962</v>
      </c>
      <c r="E1064" t="s">
        <v>2216</v>
      </c>
      <c r="F1064">
        <v>3771</v>
      </c>
      <c r="G1064">
        <v>221845</v>
      </c>
      <c r="H1064" t="s">
        <v>964</v>
      </c>
      <c r="I1064">
        <v>206</v>
      </c>
      <c r="J1064">
        <v>207</v>
      </c>
      <c r="K1064" t="s">
        <v>979</v>
      </c>
      <c r="L1064" t="s">
        <v>965</v>
      </c>
      <c r="M1064" t="s">
        <v>2217</v>
      </c>
    </row>
    <row r="1065" spans="1:13" x14ac:dyDescent="0.35">
      <c r="A1065">
        <v>103292</v>
      </c>
      <c r="B1065">
        <v>1481</v>
      </c>
      <c r="C1065" t="s">
        <v>602</v>
      </c>
      <c r="D1065" t="s">
        <v>1066</v>
      </c>
      <c r="E1065" t="s">
        <v>2218</v>
      </c>
      <c r="F1065">
        <v>4167180</v>
      </c>
      <c r="G1065">
        <v>222448</v>
      </c>
      <c r="H1065" t="s">
        <v>964</v>
      </c>
      <c r="I1065">
        <v>206</v>
      </c>
      <c r="J1065">
        <v>210</v>
      </c>
      <c r="K1065" t="s">
        <v>2155</v>
      </c>
      <c r="L1065" t="s">
        <v>965</v>
      </c>
      <c r="M1065" t="s">
        <v>2219</v>
      </c>
    </row>
    <row r="1066" spans="1:13" x14ac:dyDescent="0.35">
      <c r="A1066">
        <v>103827</v>
      </c>
      <c r="B1066">
        <v>1747</v>
      </c>
      <c r="C1066" t="s">
        <v>597</v>
      </c>
      <c r="D1066" t="s">
        <v>2003</v>
      </c>
      <c r="E1066" t="s">
        <v>2220</v>
      </c>
      <c r="F1066">
        <v>2045</v>
      </c>
      <c r="G1066">
        <v>225231</v>
      </c>
      <c r="H1066" t="s">
        <v>964</v>
      </c>
      <c r="I1066">
        <v>206</v>
      </c>
      <c r="J1066">
        <v>209</v>
      </c>
      <c r="K1066" t="s">
        <v>2221</v>
      </c>
      <c r="L1066" t="s">
        <v>1581</v>
      </c>
      <c r="M1066" t="s">
        <v>2222</v>
      </c>
    </row>
    <row r="1067" spans="1:13" x14ac:dyDescent="0.35">
      <c r="A1067">
        <v>0</v>
      </c>
      <c r="B1067">
        <v>2934</v>
      </c>
      <c r="C1067" t="s">
        <v>602</v>
      </c>
      <c r="D1067" t="s">
        <v>1301</v>
      </c>
      <c r="E1067" t="s">
        <v>2223</v>
      </c>
      <c r="F1067">
        <v>7160</v>
      </c>
      <c r="I1067">
        <v>206</v>
      </c>
      <c r="J1067">
        <v>205</v>
      </c>
      <c r="M1067" t="s">
        <v>2223</v>
      </c>
    </row>
    <row r="1068" spans="1:13" x14ac:dyDescent="0.35">
      <c r="A1068">
        <v>0</v>
      </c>
      <c r="B1068">
        <v>2933</v>
      </c>
      <c r="C1068" t="s">
        <v>602</v>
      </c>
      <c r="D1068" t="s">
        <v>1301</v>
      </c>
      <c r="E1068" t="s">
        <v>2224</v>
      </c>
      <c r="F1068">
        <v>7159</v>
      </c>
      <c r="I1068">
        <v>205</v>
      </c>
      <c r="J1068">
        <v>204</v>
      </c>
      <c r="M1068" t="s">
        <v>2224</v>
      </c>
    </row>
    <row r="1069" spans="1:13" x14ac:dyDescent="0.35">
      <c r="A1069">
        <v>103291</v>
      </c>
      <c r="B1069">
        <v>1480</v>
      </c>
      <c r="C1069" t="s">
        <v>602</v>
      </c>
      <c r="D1069" t="s">
        <v>1066</v>
      </c>
      <c r="E1069" t="s">
        <v>2225</v>
      </c>
      <c r="F1069">
        <v>4168138</v>
      </c>
      <c r="G1069">
        <v>219979</v>
      </c>
      <c r="H1069" t="s">
        <v>964</v>
      </c>
      <c r="I1069">
        <v>205</v>
      </c>
      <c r="J1069">
        <v>209</v>
      </c>
      <c r="K1069" t="s">
        <v>2155</v>
      </c>
      <c r="L1069" t="s">
        <v>965</v>
      </c>
      <c r="M1069" t="s">
        <v>2226</v>
      </c>
    </row>
    <row r="1070" spans="1:13" x14ac:dyDescent="0.35">
      <c r="A1070">
        <v>103826</v>
      </c>
      <c r="B1070">
        <v>1746</v>
      </c>
      <c r="C1070" t="s">
        <v>602</v>
      </c>
      <c r="D1070" t="s">
        <v>2003</v>
      </c>
      <c r="E1070" t="s">
        <v>2227</v>
      </c>
      <c r="F1070">
        <v>2046</v>
      </c>
      <c r="G1070">
        <v>225230</v>
      </c>
      <c r="H1070" t="s">
        <v>964</v>
      </c>
      <c r="I1070">
        <v>205</v>
      </c>
      <c r="J1070">
        <v>208</v>
      </c>
      <c r="K1070" t="s">
        <v>2079</v>
      </c>
      <c r="L1070" t="s">
        <v>1581</v>
      </c>
      <c r="M1070" t="s">
        <v>2228</v>
      </c>
    </row>
    <row r="1071" spans="1:13" x14ac:dyDescent="0.35">
      <c r="A1071">
        <v>104235</v>
      </c>
      <c r="B1071">
        <v>1267</v>
      </c>
      <c r="C1071" t="s">
        <v>602</v>
      </c>
      <c r="D1071" t="s">
        <v>962</v>
      </c>
      <c r="E1071" t="s">
        <v>2229</v>
      </c>
      <c r="F1071">
        <v>4933</v>
      </c>
      <c r="G1071">
        <v>227342</v>
      </c>
      <c r="H1071" t="s">
        <v>964</v>
      </c>
      <c r="I1071">
        <v>205</v>
      </c>
      <c r="J1071">
        <v>206</v>
      </c>
      <c r="K1071" t="s">
        <v>979</v>
      </c>
      <c r="L1071" t="s">
        <v>965</v>
      </c>
      <c r="M1071" t="s">
        <v>2230</v>
      </c>
    </row>
    <row r="1072" spans="1:13" x14ac:dyDescent="0.35">
      <c r="A1072">
        <v>101018</v>
      </c>
      <c r="B1072">
        <v>1361</v>
      </c>
      <c r="C1072" t="s">
        <v>602</v>
      </c>
      <c r="D1072" t="s">
        <v>1066</v>
      </c>
      <c r="E1072" t="s">
        <v>2231</v>
      </c>
      <c r="F1072">
        <v>4167187</v>
      </c>
      <c r="G1072">
        <v>218455</v>
      </c>
      <c r="H1072" t="s">
        <v>964</v>
      </c>
      <c r="I1072">
        <v>204</v>
      </c>
      <c r="J1072">
        <v>208</v>
      </c>
      <c r="K1072" t="s">
        <v>1068</v>
      </c>
      <c r="L1072" t="s">
        <v>1581</v>
      </c>
      <c r="M1072" t="s">
        <v>2232</v>
      </c>
    </row>
    <row r="1073" spans="1:13" x14ac:dyDescent="0.35">
      <c r="A1073">
        <v>101369</v>
      </c>
      <c r="B1073">
        <v>996</v>
      </c>
      <c r="C1073" t="s">
        <v>602</v>
      </c>
      <c r="D1073" t="s">
        <v>962</v>
      </c>
      <c r="E1073" t="s">
        <v>2233</v>
      </c>
      <c r="F1073">
        <v>3449</v>
      </c>
      <c r="G1073">
        <v>219785</v>
      </c>
      <c r="H1073" t="s">
        <v>964</v>
      </c>
      <c r="I1073">
        <v>204</v>
      </c>
      <c r="J1073">
        <v>205</v>
      </c>
      <c r="K1073" t="s">
        <v>979</v>
      </c>
      <c r="L1073" t="s">
        <v>965</v>
      </c>
      <c r="M1073" t="s">
        <v>2234</v>
      </c>
    </row>
    <row r="1074" spans="1:13" x14ac:dyDescent="0.35">
      <c r="A1074">
        <v>103823</v>
      </c>
      <c r="B1074">
        <v>1743</v>
      </c>
      <c r="C1074" t="s">
        <v>602</v>
      </c>
      <c r="D1074" t="s">
        <v>2003</v>
      </c>
      <c r="E1074" t="s">
        <v>2235</v>
      </c>
      <c r="F1074">
        <v>2049</v>
      </c>
      <c r="G1074">
        <v>225228</v>
      </c>
      <c r="H1074" t="s">
        <v>964</v>
      </c>
      <c r="I1074">
        <v>204</v>
      </c>
      <c r="J1074">
        <v>207</v>
      </c>
      <c r="K1074" t="s">
        <v>2079</v>
      </c>
      <c r="L1074" t="s">
        <v>1581</v>
      </c>
      <c r="M1074" t="s">
        <v>2236</v>
      </c>
    </row>
    <row r="1075" spans="1:13" x14ac:dyDescent="0.35">
      <c r="A1075">
        <v>0</v>
      </c>
      <c r="B1075">
        <v>2932</v>
      </c>
      <c r="C1075" t="s">
        <v>602</v>
      </c>
      <c r="D1075" t="s">
        <v>1301</v>
      </c>
      <c r="E1075" t="s">
        <v>2237</v>
      </c>
      <c r="F1075">
        <v>7158</v>
      </c>
      <c r="I1075">
        <v>204</v>
      </c>
      <c r="J1075">
        <v>203</v>
      </c>
      <c r="M1075" t="s">
        <v>2237</v>
      </c>
    </row>
    <row r="1076" spans="1:13" x14ac:dyDescent="0.35">
      <c r="A1076">
        <v>104299</v>
      </c>
      <c r="B1076">
        <v>1698</v>
      </c>
      <c r="C1076" t="s">
        <v>602</v>
      </c>
      <c r="D1076" t="s">
        <v>1066</v>
      </c>
      <c r="E1076" t="s">
        <v>2238</v>
      </c>
      <c r="F1076">
        <v>4167392</v>
      </c>
      <c r="G1076">
        <v>227754</v>
      </c>
      <c r="H1076" t="s">
        <v>964</v>
      </c>
      <c r="I1076">
        <v>203</v>
      </c>
      <c r="J1076">
        <v>207</v>
      </c>
      <c r="K1076" t="s">
        <v>1068</v>
      </c>
      <c r="L1076" t="s">
        <v>965</v>
      </c>
      <c r="M1076" t="s">
        <v>2239</v>
      </c>
    </row>
    <row r="1077" spans="1:13" x14ac:dyDescent="0.35">
      <c r="A1077">
        <v>103800</v>
      </c>
      <c r="B1077">
        <v>1723</v>
      </c>
      <c r="C1077" t="s">
        <v>602</v>
      </c>
      <c r="D1077" t="s">
        <v>2003</v>
      </c>
      <c r="E1077" t="s">
        <v>2240</v>
      </c>
      <c r="F1077">
        <v>2023</v>
      </c>
      <c r="G1077">
        <v>225207</v>
      </c>
      <c r="H1077" t="s">
        <v>964</v>
      </c>
      <c r="I1077">
        <v>203</v>
      </c>
      <c r="J1077">
        <v>206</v>
      </c>
      <c r="K1077" t="s">
        <v>1799</v>
      </c>
      <c r="L1077" t="s">
        <v>1581</v>
      </c>
      <c r="M1077" t="s">
        <v>2241</v>
      </c>
    </row>
    <row r="1078" spans="1:13" x14ac:dyDescent="0.35">
      <c r="A1078">
        <v>0</v>
      </c>
      <c r="B1078">
        <v>2931</v>
      </c>
      <c r="C1078" t="s">
        <v>602</v>
      </c>
      <c r="D1078" t="s">
        <v>1301</v>
      </c>
      <c r="E1078" t="s">
        <v>2242</v>
      </c>
      <c r="F1078">
        <v>7157</v>
      </c>
      <c r="I1078">
        <v>203</v>
      </c>
      <c r="J1078">
        <v>202</v>
      </c>
      <c r="M1078" t="s">
        <v>2242</v>
      </c>
    </row>
    <row r="1079" spans="1:13" x14ac:dyDescent="0.35">
      <c r="A1079">
        <v>101524</v>
      </c>
      <c r="B1079">
        <v>1118</v>
      </c>
      <c r="C1079" t="s">
        <v>602</v>
      </c>
      <c r="D1079" t="s">
        <v>962</v>
      </c>
      <c r="E1079" t="s">
        <v>2243</v>
      </c>
      <c r="F1079">
        <v>3628</v>
      </c>
      <c r="G1079">
        <v>221771</v>
      </c>
      <c r="H1079" t="s">
        <v>964</v>
      </c>
      <c r="I1079">
        <v>203</v>
      </c>
      <c r="J1079">
        <v>204</v>
      </c>
      <c r="K1079" t="s">
        <v>1051</v>
      </c>
      <c r="L1079" t="s">
        <v>965</v>
      </c>
      <c r="M1079" t="s">
        <v>2244</v>
      </c>
    </row>
    <row r="1080" spans="1:13" x14ac:dyDescent="0.35">
      <c r="A1080">
        <v>103801</v>
      </c>
      <c r="B1080">
        <v>1724</v>
      </c>
      <c r="C1080" t="s">
        <v>602</v>
      </c>
      <c r="D1080" t="s">
        <v>2003</v>
      </c>
      <c r="E1080" t="s">
        <v>2245</v>
      </c>
      <c r="F1080">
        <v>2025</v>
      </c>
      <c r="G1080">
        <v>225208</v>
      </c>
      <c r="H1080" t="s">
        <v>964</v>
      </c>
      <c r="I1080">
        <v>202</v>
      </c>
      <c r="J1080">
        <v>205</v>
      </c>
      <c r="K1080" t="s">
        <v>2079</v>
      </c>
      <c r="L1080" t="s">
        <v>1581</v>
      </c>
      <c r="M1080" t="s">
        <v>2246</v>
      </c>
    </row>
    <row r="1081" spans="1:13" x14ac:dyDescent="0.35">
      <c r="A1081">
        <v>103658</v>
      </c>
      <c r="B1081">
        <v>1633</v>
      </c>
      <c r="C1081" t="s">
        <v>602</v>
      </c>
      <c r="D1081" t="s">
        <v>1066</v>
      </c>
      <c r="E1081" t="s">
        <v>2247</v>
      </c>
      <c r="F1081">
        <v>4166502</v>
      </c>
      <c r="G1081">
        <v>223082</v>
      </c>
      <c r="H1081" t="s">
        <v>964</v>
      </c>
      <c r="I1081">
        <v>202</v>
      </c>
      <c r="J1081">
        <v>206</v>
      </c>
      <c r="K1081" t="s">
        <v>2155</v>
      </c>
      <c r="L1081" t="s">
        <v>980</v>
      </c>
      <c r="M1081" t="s">
        <v>2248</v>
      </c>
    </row>
    <row r="1082" spans="1:13" x14ac:dyDescent="0.35">
      <c r="A1082">
        <v>101422</v>
      </c>
      <c r="B1082">
        <v>1037</v>
      </c>
      <c r="C1082" t="s">
        <v>602</v>
      </c>
      <c r="D1082" t="s">
        <v>962</v>
      </c>
      <c r="E1082" t="s">
        <v>2249</v>
      </c>
      <c r="F1082">
        <v>3472</v>
      </c>
      <c r="G1082">
        <v>220171</v>
      </c>
      <c r="H1082" t="s">
        <v>964</v>
      </c>
      <c r="I1082">
        <v>202</v>
      </c>
      <c r="J1082">
        <v>203</v>
      </c>
      <c r="K1082" t="s">
        <v>1051</v>
      </c>
      <c r="L1082" t="s">
        <v>965</v>
      </c>
      <c r="M1082" t="s">
        <v>2250</v>
      </c>
    </row>
    <row r="1083" spans="1:13" x14ac:dyDescent="0.35">
      <c r="A1083">
        <v>0</v>
      </c>
      <c r="B1083">
        <v>2930</v>
      </c>
      <c r="C1083" t="s">
        <v>602</v>
      </c>
      <c r="D1083" t="s">
        <v>1301</v>
      </c>
      <c r="E1083" t="s">
        <v>2251</v>
      </c>
      <c r="F1083">
        <v>7156</v>
      </c>
      <c r="I1083">
        <v>202</v>
      </c>
      <c r="J1083">
        <v>201</v>
      </c>
      <c r="M1083" t="s">
        <v>2251</v>
      </c>
    </row>
    <row r="1084" spans="1:13" x14ac:dyDescent="0.35">
      <c r="A1084">
        <v>103802</v>
      </c>
      <c r="B1084">
        <v>1725</v>
      </c>
      <c r="C1084" t="s">
        <v>597</v>
      </c>
      <c r="D1084" t="s">
        <v>2003</v>
      </c>
      <c r="E1084" t="s">
        <v>2252</v>
      </c>
      <c r="F1084">
        <v>2029</v>
      </c>
      <c r="G1084">
        <v>225209</v>
      </c>
      <c r="H1084" t="s">
        <v>964</v>
      </c>
      <c r="I1084">
        <v>201</v>
      </c>
      <c r="J1084">
        <v>204</v>
      </c>
      <c r="K1084" t="s">
        <v>2221</v>
      </c>
      <c r="L1084" t="s">
        <v>1581</v>
      </c>
      <c r="M1084" t="s">
        <v>2253</v>
      </c>
    </row>
    <row r="1085" spans="1:13" x14ac:dyDescent="0.35">
      <c r="A1085">
        <v>101014</v>
      </c>
      <c r="B1085">
        <v>1358</v>
      </c>
      <c r="C1085" t="s">
        <v>597</v>
      </c>
      <c r="D1085" t="s">
        <v>1066</v>
      </c>
      <c r="E1085" t="s">
        <v>2254</v>
      </c>
      <c r="F1085">
        <v>4166607</v>
      </c>
      <c r="G1085">
        <v>218281</v>
      </c>
      <c r="H1085" t="s">
        <v>964</v>
      </c>
      <c r="I1085">
        <v>201</v>
      </c>
      <c r="J1085">
        <v>205</v>
      </c>
      <c r="K1085" t="s">
        <v>1068</v>
      </c>
      <c r="L1085" t="s">
        <v>965</v>
      </c>
      <c r="M1085" t="s">
        <v>2255</v>
      </c>
    </row>
    <row r="1086" spans="1:13" x14ac:dyDescent="0.35">
      <c r="A1086">
        <v>101494</v>
      </c>
      <c r="B1086">
        <v>1092</v>
      </c>
      <c r="C1086" t="s">
        <v>602</v>
      </c>
      <c r="D1086" t="s">
        <v>962</v>
      </c>
      <c r="E1086" t="s">
        <v>2256</v>
      </c>
      <c r="F1086">
        <v>3701</v>
      </c>
      <c r="G1086">
        <v>221446</v>
      </c>
      <c r="H1086" t="s">
        <v>964</v>
      </c>
      <c r="I1086">
        <v>201</v>
      </c>
      <c r="J1086">
        <v>202</v>
      </c>
      <c r="K1086" t="s">
        <v>979</v>
      </c>
      <c r="L1086" t="s">
        <v>965</v>
      </c>
      <c r="M1086" t="s">
        <v>2257</v>
      </c>
    </row>
    <row r="1087" spans="1:13" x14ac:dyDescent="0.35">
      <c r="A1087">
        <v>0</v>
      </c>
      <c r="B1087">
        <v>2929</v>
      </c>
      <c r="C1087" t="s">
        <v>602</v>
      </c>
      <c r="D1087" t="s">
        <v>1301</v>
      </c>
      <c r="E1087" t="s">
        <v>2258</v>
      </c>
      <c r="F1087">
        <v>7155</v>
      </c>
      <c r="I1087">
        <v>201</v>
      </c>
      <c r="J1087">
        <v>200</v>
      </c>
      <c r="M1087" t="s">
        <v>2258</v>
      </c>
    </row>
    <row r="1088" spans="1:13" x14ac:dyDescent="0.35">
      <c r="A1088">
        <v>104309</v>
      </c>
      <c r="B1088">
        <v>1700</v>
      </c>
      <c r="C1088" t="s">
        <v>602</v>
      </c>
      <c r="D1088" t="s">
        <v>1066</v>
      </c>
      <c r="E1088" t="s">
        <v>2259</v>
      </c>
      <c r="F1088">
        <v>4166684</v>
      </c>
      <c r="G1088">
        <v>227997</v>
      </c>
      <c r="H1088" t="s">
        <v>964</v>
      </c>
      <c r="I1088">
        <v>200</v>
      </c>
      <c r="J1088">
        <v>204</v>
      </c>
      <c r="K1088" t="s">
        <v>1068</v>
      </c>
      <c r="L1088" t="s">
        <v>965</v>
      </c>
      <c r="M1088" t="s">
        <v>2260</v>
      </c>
    </row>
    <row r="1089" spans="1:13" x14ac:dyDescent="0.35">
      <c r="A1089">
        <v>103803</v>
      </c>
      <c r="B1089">
        <v>1726</v>
      </c>
      <c r="C1089" t="s">
        <v>602</v>
      </c>
      <c r="D1089" t="s">
        <v>2003</v>
      </c>
      <c r="E1089" t="s">
        <v>2261</v>
      </c>
      <c r="F1089">
        <v>2033</v>
      </c>
      <c r="G1089">
        <v>22896</v>
      </c>
      <c r="H1089" t="s">
        <v>964</v>
      </c>
      <c r="I1089">
        <v>200</v>
      </c>
      <c r="J1089">
        <v>203</v>
      </c>
      <c r="K1089" t="s">
        <v>2079</v>
      </c>
      <c r="L1089" t="s">
        <v>1581</v>
      </c>
      <c r="M1089" t="s">
        <v>2262</v>
      </c>
    </row>
    <row r="1090" spans="1:13" x14ac:dyDescent="0.35">
      <c r="A1090">
        <v>0</v>
      </c>
      <c r="B1090">
        <v>2928</v>
      </c>
      <c r="C1090" t="s">
        <v>602</v>
      </c>
      <c r="D1090" t="s">
        <v>1301</v>
      </c>
      <c r="E1090" t="s">
        <v>2263</v>
      </c>
      <c r="F1090">
        <v>7154</v>
      </c>
      <c r="I1090">
        <v>200</v>
      </c>
      <c r="J1090">
        <v>199</v>
      </c>
      <c r="M1090" t="s">
        <v>2263</v>
      </c>
    </row>
    <row r="1091" spans="1:13" x14ac:dyDescent="0.35">
      <c r="A1091">
        <v>101463</v>
      </c>
      <c r="B1091">
        <v>1064</v>
      </c>
      <c r="C1091" t="s">
        <v>602</v>
      </c>
      <c r="D1091" t="s">
        <v>962</v>
      </c>
      <c r="E1091" t="s">
        <v>2264</v>
      </c>
      <c r="F1091">
        <v>3499</v>
      </c>
      <c r="G1091">
        <v>220993</v>
      </c>
      <c r="H1091" t="s">
        <v>964</v>
      </c>
      <c r="I1091">
        <v>200</v>
      </c>
      <c r="J1091">
        <v>201</v>
      </c>
      <c r="K1091" t="s">
        <v>979</v>
      </c>
      <c r="L1091" t="s">
        <v>980</v>
      </c>
      <c r="M1091" t="s">
        <v>2265</v>
      </c>
    </row>
    <row r="1092" spans="1:13" x14ac:dyDescent="0.35">
      <c r="A1092">
        <v>101368</v>
      </c>
      <c r="B1092">
        <v>995</v>
      </c>
      <c r="C1092" t="s">
        <v>602</v>
      </c>
      <c r="D1092" t="s">
        <v>962</v>
      </c>
      <c r="E1092" t="s">
        <v>2266</v>
      </c>
      <c r="F1092">
        <v>3448</v>
      </c>
      <c r="G1092">
        <v>219739</v>
      </c>
      <c r="H1092" t="s">
        <v>964</v>
      </c>
      <c r="I1092">
        <v>199</v>
      </c>
      <c r="J1092">
        <v>200</v>
      </c>
      <c r="K1092" t="s">
        <v>1051</v>
      </c>
      <c r="L1092" t="s">
        <v>965</v>
      </c>
      <c r="M1092" t="s">
        <v>2267</v>
      </c>
    </row>
    <row r="1093" spans="1:13" x14ac:dyDescent="0.35">
      <c r="A1093">
        <v>0</v>
      </c>
      <c r="B1093">
        <v>2927</v>
      </c>
      <c r="C1093" t="s">
        <v>602</v>
      </c>
      <c r="D1093" t="s">
        <v>1301</v>
      </c>
      <c r="E1093" t="s">
        <v>2268</v>
      </c>
      <c r="F1093">
        <v>7153</v>
      </c>
      <c r="I1093">
        <v>199</v>
      </c>
      <c r="J1093">
        <v>198</v>
      </c>
      <c r="M1093" t="s">
        <v>2268</v>
      </c>
    </row>
    <row r="1094" spans="1:13" x14ac:dyDescent="0.35">
      <c r="A1094">
        <v>103804</v>
      </c>
      <c r="B1094">
        <v>1727</v>
      </c>
      <c r="C1094" t="s">
        <v>602</v>
      </c>
      <c r="D1094" t="s">
        <v>2003</v>
      </c>
      <c r="E1094" t="s">
        <v>2269</v>
      </c>
      <c r="F1094">
        <v>2034</v>
      </c>
      <c r="G1094">
        <v>225210</v>
      </c>
      <c r="H1094" t="s">
        <v>964</v>
      </c>
      <c r="I1094">
        <v>199</v>
      </c>
      <c r="J1094">
        <v>202</v>
      </c>
      <c r="K1094" t="s">
        <v>2079</v>
      </c>
      <c r="L1094" t="s">
        <v>1581</v>
      </c>
      <c r="M1094" t="s">
        <v>2270</v>
      </c>
    </row>
    <row r="1095" spans="1:13" x14ac:dyDescent="0.35">
      <c r="A1095">
        <v>103316</v>
      </c>
      <c r="B1095">
        <v>1500</v>
      </c>
      <c r="C1095" t="s">
        <v>602</v>
      </c>
      <c r="D1095" t="s">
        <v>1066</v>
      </c>
      <c r="E1095" t="s">
        <v>2271</v>
      </c>
      <c r="F1095">
        <v>4166678</v>
      </c>
      <c r="G1095">
        <v>222459</v>
      </c>
      <c r="H1095" t="s">
        <v>964</v>
      </c>
      <c r="I1095">
        <v>199</v>
      </c>
      <c r="J1095">
        <v>203</v>
      </c>
      <c r="K1095" t="s">
        <v>1068</v>
      </c>
      <c r="L1095" t="s">
        <v>965</v>
      </c>
      <c r="M1095" t="s">
        <v>2272</v>
      </c>
    </row>
    <row r="1096" spans="1:13" x14ac:dyDescent="0.35">
      <c r="A1096">
        <v>103428</v>
      </c>
      <c r="B1096">
        <v>1571</v>
      </c>
      <c r="C1096" t="s">
        <v>602</v>
      </c>
      <c r="D1096" t="s">
        <v>1066</v>
      </c>
      <c r="E1096" t="s">
        <v>2273</v>
      </c>
      <c r="F1096">
        <v>4167139</v>
      </c>
      <c r="G1096">
        <v>221060</v>
      </c>
      <c r="H1096" t="s">
        <v>964</v>
      </c>
      <c r="I1096">
        <v>198</v>
      </c>
      <c r="J1096">
        <v>202</v>
      </c>
      <c r="K1096" t="s">
        <v>2155</v>
      </c>
      <c r="L1096" t="s">
        <v>965</v>
      </c>
      <c r="M1096" t="s">
        <v>2274</v>
      </c>
    </row>
    <row r="1097" spans="1:13" x14ac:dyDescent="0.35">
      <c r="A1097">
        <v>0</v>
      </c>
      <c r="B1097">
        <v>2926</v>
      </c>
      <c r="C1097" t="s">
        <v>602</v>
      </c>
      <c r="D1097" t="s">
        <v>1301</v>
      </c>
      <c r="E1097" t="s">
        <v>2275</v>
      </c>
      <c r="F1097">
        <v>7152</v>
      </c>
      <c r="I1097">
        <v>198</v>
      </c>
      <c r="J1097">
        <v>197</v>
      </c>
      <c r="M1097" t="s">
        <v>2275</v>
      </c>
    </row>
    <row r="1098" spans="1:13" x14ac:dyDescent="0.35">
      <c r="A1098">
        <v>101330</v>
      </c>
      <c r="B1098">
        <v>967</v>
      </c>
      <c r="C1098" t="s">
        <v>602</v>
      </c>
      <c r="D1098" t="s">
        <v>962</v>
      </c>
      <c r="E1098" t="s">
        <v>2276</v>
      </c>
      <c r="F1098">
        <v>3462</v>
      </c>
      <c r="G1098">
        <v>219772</v>
      </c>
      <c r="H1098" t="s">
        <v>964</v>
      </c>
      <c r="I1098">
        <v>198</v>
      </c>
      <c r="J1098">
        <v>199</v>
      </c>
      <c r="K1098" t="s">
        <v>979</v>
      </c>
      <c r="L1098" t="s">
        <v>965</v>
      </c>
      <c r="M1098" t="s">
        <v>2277</v>
      </c>
    </row>
    <row r="1099" spans="1:13" x14ac:dyDescent="0.35">
      <c r="A1099">
        <v>101489</v>
      </c>
      <c r="B1099">
        <v>1088</v>
      </c>
      <c r="C1099" t="s">
        <v>602</v>
      </c>
      <c r="D1099" t="s">
        <v>962</v>
      </c>
      <c r="E1099" t="s">
        <v>2278</v>
      </c>
      <c r="F1099">
        <v>3703</v>
      </c>
      <c r="G1099">
        <v>221478</v>
      </c>
      <c r="H1099" t="s">
        <v>964</v>
      </c>
      <c r="I1099">
        <v>197</v>
      </c>
      <c r="J1099">
        <v>198</v>
      </c>
      <c r="K1099" t="s">
        <v>979</v>
      </c>
      <c r="L1099" t="s">
        <v>980</v>
      </c>
      <c r="M1099" t="s">
        <v>2279</v>
      </c>
    </row>
    <row r="1100" spans="1:13" x14ac:dyDescent="0.35">
      <c r="A1100">
        <v>103360</v>
      </c>
      <c r="B1100">
        <v>1521</v>
      </c>
      <c r="C1100" t="s">
        <v>602</v>
      </c>
      <c r="D1100" t="s">
        <v>1066</v>
      </c>
      <c r="E1100" t="s">
        <v>2280</v>
      </c>
      <c r="F1100">
        <v>4167137</v>
      </c>
      <c r="G1100">
        <v>222623</v>
      </c>
      <c r="H1100" t="s">
        <v>964</v>
      </c>
      <c r="I1100">
        <v>197</v>
      </c>
      <c r="J1100">
        <v>201</v>
      </c>
      <c r="K1100" t="s">
        <v>2281</v>
      </c>
      <c r="L1100" t="s">
        <v>980</v>
      </c>
      <c r="M1100" t="s">
        <v>2282</v>
      </c>
    </row>
    <row r="1101" spans="1:13" x14ac:dyDescent="0.35">
      <c r="A1101">
        <v>0</v>
      </c>
      <c r="B1101">
        <v>2925</v>
      </c>
      <c r="C1101" t="s">
        <v>602</v>
      </c>
      <c r="D1101" t="s">
        <v>1301</v>
      </c>
      <c r="E1101" t="s">
        <v>2283</v>
      </c>
      <c r="F1101">
        <v>7151</v>
      </c>
      <c r="I1101">
        <v>197</v>
      </c>
      <c r="J1101">
        <v>196</v>
      </c>
      <c r="M1101" t="s">
        <v>2283</v>
      </c>
    </row>
    <row r="1102" spans="1:13" x14ac:dyDescent="0.35">
      <c r="A1102">
        <v>101427</v>
      </c>
      <c r="B1102">
        <v>1041</v>
      </c>
      <c r="C1102" t="s">
        <v>597</v>
      </c>
      <c r="D1102" t="s">
        <v>962</v>
      </c>
      <c r="E1102" t="s">
        <v>2284</v>
      </c>
      <c r="I1102">
        <v>197</v>
      </c>
      <c r="J1102">
        <v>196</v>
      </c>
    </row>
    <row r="1103" spans="1:13" x14ac:dyDescent="0.35">
      <c r="A1103">
        <v>103488</v>
      </c>
      <c r="B1103">
        <v>1610</v>
      </c>
      <c r="C1103" t="s">
        <v>602</v>
      </c>
      <c r="D1103" t="s">
        <v>1066</v>
      </c>
      <c r="E1103" t="s">
        <v>2285</v>
      </c>
      <c r="F1103">
        <v>4168144</v>
      </c>
      <c r="G1103">
        <v>222606</v>
      </c>
      <c r="H1103" t="s">
        <v>964</v>
      </c>
      <c r="I1103">
        <v>196</v>
      </c>
      <c r="J1103">
        <v>200</v>
      </c>
      <c r="K1103" t="s">
        <v>2155</v>
      </c>
      <c r="L1103" t="s">
        <v>965</v>
      </c>
      <c r="M1103" t="s">
        <v>2286</v>
      </c>
    </row>
    <row r="1104" spans="1:13" x14ac:dyDescent="0.35">
      <c r="A1104">
        <v>0</v>
      </c>
      <c r="B1104">
        <v>2924</v>
      </c>
      <c r="C1104" t="s">
        <v>602</v>
      </c>
      <c r="D1104" t="s">
        <v>1301</v>
      </c>
      <c r="E1104" t="s">
        <v>2287</v>
      </c>
      <c r="F1104">
        <v>7150</v>
      </c>
      <c r="I1104">
        <v>196</v>
      </c>
      <c r="J1104">
        <v>195</v>
      </c>
      <c r="M1104" t="s">
        <v>2287</v>
      </c>
    </row>
    <row r="1105" spans="1:13" x14ac:dyDescent="0.35">
      <c r="A1105">
        <v>102137</v>
      </c>
      <c r="B1105">
        <v>1425</v>
      </c>
      <c r="C1105" t="s">
        <v>602</v>
      </c>
      <c r="D1105" t="s">
        <v>1066</v>
      </c>
      <c r="E1105" t="s">
        <v>2288</v>
      </c>
      <c r="F1105">
        <v>4167094</v>
      </c>
      <c r="G1105">
        <v>220876</v>
      </c>
      <c r="H1105" t="s">
        <v>964</v>
      </c>
      <c r="I1105">
        <v>195</v>
      </c>
      <c r="J1105">
        <v>199</v>
      </c>
      <c r="K1105" t="s">
        <v>1068</v>
      </c>
      <c r="L1105" t="s">
        <v>965</v>
      </c>
      <c r="M1105" t="s">
        <v>2289</v>
      </c>
    </row>
    <row r="1106" spans="1:13" x14ac:dyDescent="0.35">
      <c r="A1106">
        <v>104134</v>
      </c>
      <c r="B1106">
        <v>1240</v>
      </c>
      <c r="C1106" t="s">
        <v>602</v>
      </c>
      <c r="D1106" t="s">
        <v>962</v>
      </c>
      <c r="E1106" t="s">
        <v>2290</v>
      </c>
      <c r="F1106">
        <v>5095</v>
      </c>
      <c r="G1106">
        <v>226445</v>
      </c>
      <c r="H1106" t="s">
        <v>964</v>
      </c>
      <c r="I1106">
        <v>195</v>
      </c>
      <c r="J1106">
        <v>196</v>
      </c>
      <c r="K1106" t="s">
        <v>979</v>
      </c>
      <c r="L1106" t="s">
        <v>965</v>
      </c>
      <c r="M1106" t="s">
        <v>2291</v>
      </c>
    </row>
    <row r="1107" spans="1:13" x14ac:dyDescent="0.35">
      <c r="A1107">
        <v>0</v>
      </c>
      <c r="B1107">
        <v>2923</v>
      </c>
      <c r="C1107" t="s">
        <v>602</v>
      </c>
      <c r="D1107" t="s">
        <v>1301</v>
      </c>
      <c r="E1107" t="s">
        <v>2292</v>
      </c>
      <c r="F1107">
        <v>7149</v>
      </c>
      <c r="I1107">
        <v>195</v>
      </c>
      <c r="J1107">
        <v>194</v>
      </c>
      <c r="M1107" t="s">
        <v>2292</v>
      </c>
    </row>
    <row r="1108" spans="1:13" x14ac:dyDescent="0.35">
      <c r="A1108">
        <v>104236</v>
      </c>
      <c r="B1108">
        <v>1268</v>
      </c>
      <c r="C1108" t="s">
        <v>602</v>
      </c>
      <c r="D1108" t="s">
        <v>962</v>
      </c>
      <c r="E1108" t="s">
        <v>2293</v>
      </c>
      <c r="F1108">
        <v>5347</v>
      </c>
      <c r="G1108">
        <v>227362</v>
      </c>
      <c r="H1108" t="s">
        <v>964</v>
      </c>
      <c r="I1108">
        <v>194</v>
      </c>
      <c r="J1108">
        <v>195</v>
      </c>
      <c r="K1108" t="s">
        <v>979</v>
      </c>
      <c r="L1108" t="s">
        <v>980</v>
      </c>
      <c r="M1108" t="s">
        <v>2294</v>
      </c>
    </row>
    <row r="1109" spans="1:13" x14ac:dyDescent="0.35">
      <c r="A1109">
        <v>103383</v>
      </c>
      <c r="B1109">
        <v>1534</v>
      </c>
      <c r="C1109" t="s">
        <v>602</v>
      </c>
      <c r="D1109" t="s">
        <v>1066</v>
      </c>
      <c r="E1109" t="s">
        <v>2295</v>
      </c>
      <c r="F1109">
        <v>4167122</v>
      </c>
      <c r="G1109">
        <v>222678</v>
      </c>
      <c r="H1109" t="s">
        <v>964</v>
      </c>
      <c r="I1109">
        <v>194</v>
      </c>
      <c r="J1109">
        <v>198</v>
      </c>
      <c r="K1109" t="s">
        <v>2281</v>
      </c>
      <c r="L1109" t="s">
        <v>965</v>
      </c>
      <c r="M1109" t="s">
        <v>2296</v>
      </c>
    </row>
    <row r="1110" spans="1:13" x14ac:dyDescent="0.35">
      <c r="A1110">
        <v>0</v>
      </c>
      <c r="B1110">
        <v>2922</v>
      </c>
      <c r="C1110" t="s">
        <v>602</v>
      </c>
      <c r="D1110" t="s">
        <v>1301</v>
      </c>
      <c r="E1110" t="s">
        <v>2297</v>
      </c>
      <c r="F1110">
        <v>7148</v>
      </c>
      <c r="I1110">
        <v>194</v>
      </c>
      <c r="J1110">
        <v>193</v>
      </c>
      <c r="M1110" t="s">
        <v>2297</v>
      </c>
    </row>
    <row r="1111" spans="1:13" x14ac:dyDescent="0.35">
      <c r="A1111">
        <v>103723</v>
      </c>
      <c r="B1111">
        <v>1213</v>
      </c>
      <c r="C1111" t="s">
        <v>602</v>
      </c>
      <c r="D1111" t="s">
        <v>962</v>
      </c>
      <c r="E1111" t="s">
        <v>2298</v>
      </c>
      <c r="F1111">
        <v>3841</v>
      </c>
      <c r="G1111">
        <v>223238</v>
      </c>
      <c r="H1111" t="s">
        <v>964</v>
      </c>
      <c r="I1111">
        <v>193</v>
      </c>
      <c r="J1111">
        <v>194</v>
      </c>
      <c r="K1111" t="s">
        <v>979</v>
      </c>
      <c r="L1111" t="s">
        <v>980</v>
      </c>
      <c r="M1111" t="s">
        <v>2299</v>
      </c>
    </row>
    <row r="1112" spans="1:13" x14ac:dyDescent="0.35">
      <c r="A1112">
        <v>103341</v>
      </c>
      <c r="B1112">
        <v>1510</v>
      </c>
      <c r="C1112" t="s">
        <v>602</v>
      </c>
      <c r="D1112" t="s">
        <v>1066</v>
      </c>
      <c r="E1112" t="s">
        <v>2300</v>
      </c>
      <c r="F1112">
        <v>4167484</v>
      </c>
      <c r="G1112">
        <v>222614</v>
      </c>
      <c r="H1112" t="s">
        <v>964</v>
      </c>
      <c r="I1112">
        <v>193</v>
      </c>
      <c r="J1112">
        <v>197</v>
      </c>
      <c r="K1112" t="s">
        <v>2281</v>
      </c>
      <c r="L1112" t="s">
        <v>965</v>
      </c>
      <c r="M1112" t="s">
        <v>2301</v>
      </c>
    </row>
    <row r="1113" spans="1:13" x14ac:dyDescent="0.35">
      <c r="A1113">
        <v>0</v>
      </c>
      <c r="B1113">
        <v>2921</v>
      </c>
      <c r="C1113" t="s">
        <v>602</v>
      </c>
      <c r="D1113" t="s">
        <v>1301</v>
      </c>
      <c r="E1113" t="s">
        <v>2302</v>
      </c>
      <c r="F1113">
        <v>7147</v>
      </c>
      <c r="I1113">
        <v>193</v>
      </c>
      <c r="J1113">
        <v>192</v>
      </c>
      <c r="M1113" t="s">
        <v>2302</v>
      </c>
    </row>
    <row r="1114" spans="1:13" x14ac:dyDescent="0.35">
      <c r="A1114">
        <v>0</v>
      </c>
      <c r="B1114">
        <v>2920</v>
      </c>
      <c r="C1114" t="s">
        <v>602</v>
      </c>
      <c r="D1114" t="s">
        <v>1301</v>
      </c>
      <c r="E1114" t="s">
        <v>2303</v>
      </c>
      <c r="F1114">
        <v>7146</v>
      </c>
      <c r="I1114">
        <v>192</v>
      </c>
      <c r="J1114">
        <v>191</v>
      </c>
      <c r="M1114" t="s">
        <v>2303</v>
      </c>
    </row>
    <row r="1115" spans="1:13" x14ac:dyDescent="0.35">
      <c r="A1115">
        <v>103677</v>
      </c>
      <c r="B1115">
        <v>1201</v>
      </c>
      <c r="C1115" t="s">
        <v>602</v>
      </c>
      <c r="D1115" t="s">
        <v>962</v>
      </c>
      <c r="E1115" t="s">
        <v>2304</v>
      </c>
      <c r="F1115">
        <v>4578</v>
      </c>
      <c r="G1115">
        <v>223117</v>
      </c>
      <c r="H1115" t="s">
        <v>964</v>
      </c>
      <c r="I1115">
        <v>192</v>
      </c>
      <c r="J1115">
        <v>193</v>
      </c>
      <c r="K1115" t="s">
        <v>979</v>
      </c>
      <c r="L1115" t="s">
        <v>965</v>
      </c>
      <c r="M1115" t="s">
        <v>2305</v>
      </c>
    </row>
    <row r="1116" spans="1:13" x14ac:dyDescent="0.35">
      <c r="A1116">
        <v>103381</v>
      </c>
      <c r="B1116">
        <v>1532</v>
      </c>
      <c r="C1116" t="s">
        <v>602</v>
      </c>
      <c r="D1116" t="s">
        <v>1066</v>
      </c>
      <c r="E1116" t="s">
        <v>2306</v>
      </c>
      <c r="F1116">
        <v>4168135</v>
      </c>
      <c r="G1116">
        <v>222661</v>
      </c>
      <c r="H1116" t="s">
        <v>964</v>
      </c>
      <c r="I1116">
        <v>192</v>
      </c>
      <c r="J1116">
        <v>196</v>
      </c>
      <c r="K1116" t="s">
        <v>2155</v>
      </c>
      <c r="L1116" t="s">
        <v>1581</v>
      </c>
      <c r="M1116" t="s">
        <v>2307</v>
      </c>
    </row>
    <row r="1117" spans="1:13" x14ac:dyDescent="0.35">
      <c r="A1117">
        <v>101150</v>
      </c>
      <c r="B1117">
        <v>1367</v>
      </c>
      <c r="C1117" t="s">
        <v>602</v>
      </c>
      <c r="D1117" t="s">
        <v>1066</v>
      </c>
      <c r="E1117" t="s">
        <v>2308</v>
      </c>
      <c r="F1117">
        <v>4166623</v>
      </c>
      <c r="G1117">
        <v>219806</v>
      </c>
      <c r="H1117" t="s">
        <v>964</v>
      </c>
      <c r="I1117">
        <v>191</v>
      </c>
      <c r="J1117">
        <v>195</v>
      </c>
      <c r="K1117" t="s">
        <v>2155</v>
      </c>
      <c r="L1117" t="s">
        <v>965</v>
      </c>
      <c r="M1117" t="s">
        <v>2309</v>
      </c>
    </row>
    <row r="1118" spans="1:13" x14ac:dyDescent="0.35">
      <c r="A1118">
        <v>0</v>
      </c>
      <c r="B1118">
        <v>2919</v>
      </c>
      <c r="C1118" t="s">
        <v>602</v>
      </c>
      <c r="D1118" t="s">
        <v>1301</v>
      </c>
      <c r="E1118" t="s">
        <v>2310</v>
      </c>
      <c r="F1118">
        <v>7145</v>
      </c>
      <c r="I1118">
        <v>191</v>
      </c>
      <c r="J1118">
        <v>190</v>
      </c>
      <c r="M1118" t="s">
        <v>2310</v>
      </c>
    </row>
    <row r="1119" spans="1:13" x14ac:dyDescent="0.35">
      <c r="A1119">
        <v>101487</v>
      </c>
      <c r="B1119">
        <v>1087</v>
      </c>
      <c r="C1119" t="s">
        <v>602</v>
      </c>
      <c r="D1119" t="s">
        <v>962</v>
      </c>
      <c r="E1119" t="s">
        <v>2311</v>
      </c>
      <c r="F1119">
        <v>3581</v>
      </c>
      <c r="G1119">
        <v>221320</v>
      </c>
      <c r="H1119" t="s">
        <v>964</v>
      </c>
      <c r="I1119">
        <v>191</v>
      </c>
      <c r="J1119">
        <v>192</v>
      </c>
      <c r="K1119" t="s">
        <v>1051</v>
      </c>
      <c r="L1119" t="s">
        <v>965</v>
      </c>
      <c r="M1119" t="s">
        <v>2312</v>
      </c>
    </row>
    <row r="1120" spans="1:13" x14ac:dyDescent="0.35">
      <c r="A1120">
        <v>0</v>
      </c>
      <c r="B1120">
        <v>2918</v>
      </c>
      <c r="C1120" t="s">
        <v>602</v>
      </c>
      <c r="D1120" t="s">
        <v>1301</v>
      </c>
      <c r="E1120" t="s">
        <v>2313</v>
      </c>
      <c r="F1120">
        <v>7144</v>
      </c>
      <c r="I1120">
        <v>190</v>
      </c>
      <c r="J1120">
        <v>189</v>
      </c>
      <c r="M1120" t="s">
        <v>2313</v>
      </c>
    </row>
    <row r="1121" spans="1:13" x14ac:dyDescent="0.35">
      <c r="A1121">
        <v>104158</v>
      </c>
      <c r="B1121">
        <v>1681</v>
      </c>
      <c r="C1121" t="s">
        <v>602</v>
      </c>
      <c r="D1121" t="s">
        <v>1066</v>
      </c>
      <c r="E1121" t="s">
        <v>2314</v>
      </c>
      <c r="F1121">
        <v>4168013</v>
      </c>
      <c r="G1121">
        <v>226810</v>
      </c>
      <c r="H1121" t="s">
        <v>964</v>
      </c>
      <c r="I1121">
        <v>190</v>
      </c>
      <c r="J1121">
        <v>194</v>
      </c>
      <c r="K1121" t="s">
        <v>2155</v>
      </c>
      <c r="L1121" t="s">
        <v>1581</v>
      </c>
      <c r="M1121" t="s">
        <v>2315</v>
      </c>
    </row>
    <row r="1122" spans="1:13" x14ac:dyDescent="0.35">
      <c r="A1122">
        <v>101515</v>
      </c>
      <c r="B1122">
        <v>1110</v>
      </c>
      <c r="C1122" t="s">
        <v>602</v>
      </c>
      <c r="D1122" t="s">
        <v>962</v>
      </c>
      <c r="E1122" t="s">
        <v>2316</v>
      </c>
      <c r="F1122">
        <v>3732</v>
      </c>
      <c r="G1122">
        <v>221706</v>
      </c>
      <c r="H1122" t="s">
        <v>964</v>
      </c>
      <c r="I1122">
        <v>190</v>
      </c>
      <c r="J1122">
        <v>191</v>
      </c>
      <c r="K1122" t="s">
        <v>979</v>
      </c>
      <c r="L1122" t="s">
        <v>965</v>
      </c>
      <c r="M1122" t="s">
        <v>2317</v>
      </c>
    </row>
    <row r="1123" spans="1:13" x14ac:dyDescent="0.35">
      <c r="A1123">
        <v>0</v>
      </c>
      <c r="B1123">
        <v>2917</v>
      </c>
      <c r="C1123" t="s">
        <v>602</v>
      </c>
      <c r="D1123" t="s">
        <v>1301</v>
      </c>
      <c r="E1123" t="s">
        <v>2318</v>
      </c>
      <c r="F1123">
        <v>7143</v>
      </c>
      <c r="I1123">
        <v>189</v>
      </c>
      <c r="J1123">
        <v>188</v>
      </c>
      <c r="M1123" t="s">
        <v>2318</v>
      </c>
    </row>
    <row r="1124" spans="1:13" x14ac:dyDescent="0.35">
      <c r="A1124">
        <v>103378</v>
      </c>
      <c r="B1124">
        <v>1530</v>
      </c>
      <c r="C1124" t="s">
        <v>602</v>
      </c>
      <c r="D1124" t="s">
        <v>1066</v>
      </c>
      <c r="E1124" t="s">
        <v>2319</v>
      </c>
      <c r="F1124">
        <v>4167145</v>
      </c>
      <c r="G1124">
        <v>222675</v>
      </c>
      <c r="H1124" t="s">
        <v>964</v>
      </c>
      <c r="I1124">
        <v>189</v>
      </c>
      <c r="J1124">
        <v>193</v>
      </c>
      <c r="K1124" t="s">
        <v>2281</v>
      </c>
      <c r="L1124" t="s">
        <v>965</v>
      </c>
      <c r="M1124" t="s">
        <v>2320</v>
      </c>
    </row>
    <row r="1125" spans="1:13" x14ac:dyDescent="0.35">
      <c r="A1125">
        <v>101413</v>
      </c>
      <c r="B1125">
        <v>1031</v>
      </c>
      <c r="C1125" t="s">
        <v>602</v>
      </c>
      <c r="D1125" t="s">
        <v>962</v>
      </c>
      <c r="E1125" t="s">
        <v>2321</v>
      </c>
      <c r="F1125">
        <v>3469</v>
      </c>
      <c r="G1125">
        <v>220907</v>
      </c>
      <c r="H1125" t="s">
        <v>964</v>
      </c>
      <c r="I1125">
        <v>189</v>
      </c>
      <c r="J1125">
        <v>190</v>
      </c>
      <c r="K1125" t="s">
        <v>979</v>
      </c>
      <c r="L1125" t="s">
        <v>965</v>
      </c>
      <c r="M1125" t="s">
        <v>2322</v>
      </c>
    </row>
    <row r="1126" spans="1:13" x14ac:dyDescent="0.35">
      <c r="A1126">
        <v>103430</v>
      </c>
      <c r="B1126">
        <v>1573</v>
      </c>
      <c r="C1126" t="s">
        <v>602</v>
      </c>
      <c r="D1126" t="s">
        <v>1066</v>
      </c>
      <c r="E1126" t="s">
        <v>2323</v>
      </c>
      <c r="F1126">
        <v>4166663</v>
      </c>
      <c r="G1126">
        <v>222723</v>
      </c>
      <c r="H1126" t="s">
        <v>964</v>
      </c>
      <c r="I1126">
        <v>188</v>
      </c>
      <c r="J1126">
        <v>192</v>
      </c>
      <c r="K1126" t="s">
        <v>2155</v>
      </c>
      <c r="L1126" t="s">
        <v>965</v>
      </c>
      <c r="M1126" t="s">
        <v>2324</v>
      </c>
    </row>
    <row r="1127" spans="1:13" x14ac:dyDescent="0.35">
      <c r="A1127">
        <v>103891</v>
      </c>
      <c r="B1127">
        <v>1230</v>
      </c>
      <c r="C1127" t="s">
        <v>602</v>
      </c>
      <c r="D1127" t="s">
        <v>962</v>
      </c>
      <c r="E1127" t="s">
        <v>2325</v>
      </c>
      <c r="F1127">
        <v>4994</v>
      </c>
      <c r="G1127">
        <v>225332</v>
      </c>
      <c r="H1127" t="s">
        <v>964</v>
      </c>
      <c r="I1127">
        <v>188</v>
      </c>
      <c r="J1127">
        <v>189</v>
      </c>
      <c r="K1127" t="s">
        <v>979</v>
      </c>
      <c r="L1127" t="s">
        <v>965</v>
      </c>
      <c r="M1127" t="s">
        <v>2326</v>
      </c>
    </row>
    <row r="1128" spans="1:13" x14ac:dyDescent="0.35">
      <c r="A1128">
        <v>0</v>
      </c>
      <c r="B1128">
        <v>2916</v>
      </c>
      <c r="C1128" t="s">
        <v>602</v>
      </c>
      <c r="D1128" t="s">
        <v>1301</v>
      </c>
      <c r="E1128" t="s">
        <v>2327</v>
      </c>
      <c r="F1128">
        <v>7142</v>
      </c>
      <c r="I1128">
        <v>188</v>
      </c>
      <c r="J1128">
        <v>187</v>
      </c>
      <c r="M1128" t="s">
        <v>2327</v>
      </c>
    </row>
    <row r="1129" spans="1:13" x14ac:dyDescent="0.35">
      <c r="A1129">
        <v>0</v>
      </c>
      <c r="B1129">
        <v>2915</v>
      </c>
      <c r="C1129" t="s">
        <v>602</v>
      </c>
      <c r="D1129" t="s">
        <v>1301</v>
      </c>
      <c r="E1129" t="s">
        <v>2328</v>
      </c>
      <c r="F1129">
        <v>7141</v>
      </c>
      <c r="I1129">
        <v>187</v>
      </c>
      <c r="J1129">
        <v>186</v>
      </c>
      <c r="M1129" t="s">
        <v>2328</v>
      </c>
    </row>
    <row r="1130" spans="1:13" x14ac:dyDescent="0.35">
      <c r="A1130">
        <v>101354</v>
      </c>
      <c r="B1130">
        <v>984</v>
      </c>
      <c r="C1130" t="s">
        <v>602</v>
      </c>
      <c r="D1130" t="s">
        <v>962</v>
      </c>
      <c r="E1130" t="s">
        <v>2329</v>
      </c>
      <c r="F1130">
        <v>3418</v>
      </c>
      <c r="G1130">
        <v>219783</v>
      </c>
      <c r="H1130" t="s">
        <v>964</v>
      </c>
      <c r="I1130">
        <v>187</v>
      </c>
      <c r="J1130">
        <v>188</v>
      </c>
      <c r="K1130" t="s">
        <v>1051</v>
      </c>
      <c r="L1130" t="s">
        <v>965</v>
      </c>
      <c r="M1130" t="s">
        <v>2330</v>
      </c>
    </row>
    <row r="1131" spans="1:13" x14ac:dyDescent="0.35">
      <c r="A1131">
        <v>103987</v>
      </c>
      <c r="B1131">
        <v>1673</v>
      </c>
      <c r="C1131" t="s">
        <v>602</v>
      </c>
      <c r="D1131" t="s">
        <v>1066</v>
      </c>
      <c r="E1131" t="s">
        <v>2331</v>
      </c>
      <c r="F1131">
        <v>4166501</v>
      </c>
      <c r="G1131">
        <v>219498</v>
      </c>
      <c r="H1131" t="s">
        <v>964</v>
      </c>
      <c r="I1131">
        <v>187</v>
      </c>
      <c r="J1131">
        <v>191</v>
      </c>
      <c r="K1131" t="s">
        <v>1068</v>
      </c>
      <c r="L1131" t="s">
        <v>980</v>
      </c>
      <c r="M1131" t="s">
        <v>2332</v>
      </c>
    </row>
    <row r="1132" spans="1:13" x14ac:dyDescent="0.35">
      <c r="A1132">
        <v>101356</v>
      </c>
      <c r="B1132">
        <v>986</v>
      </c>
      <c r="C1132" t="s">
        <v>602</v>
      </c>
      <c r="D1132" t="s">
        <v>962</v>
      </c>
      <c r="E1132" t="s">
        <v>2333</v>
      </c>
      <c r="F1132">
        <v>3438</v>
      </c>
      <c r="G1132">
        <v>219765</v>
      </c>
      <c r="H1132" t="s">
        <v>964</v>
      </c>
      <c r="I1132">
        <v>186</v>
      </c>
      <c r="J1132">
        <v>187</v>
      </c>
      <c r="K1132" t="s">
        <v>1051</v>
      </c>
      <c r="L1132" t="s">
        <v>965</v>
      </c>
      <c r="M1132" t="s">
        <v>2334</v>
      </c>
    </row>
    <row r="1133" spans="1:13" x14ac:dyDescent="0.35">
      <c r="A1133">
        <v>0</v>
      </c>
      <c r="B1133">
        <v>2914</v>
      </c>
      <c r="C1133" t="s">
        <v>602</v>
      </c>
      <c r="D1133" t="s">
        <v>1301</v>
      </c>
      <c r="E1133" t="s">
        <v>2335</v>
      </c>
      <c r="F1133">
        <v>7140</v>
      </c>
      <c r="I1133">
        <v>186</v>
      </c>
      <c r="J1133">
        <v>185</v>
      </c>
      <c r="M1133" t="s">
        <v>2335</v>
      </c>
    </row>
    <row r="1134" spans="1:13" x14ac:dyDescent="0.35">
      <c r="A1134">
        <v>101017</v>
      </c>
      <c r="B1134">
        <v>1360</v>
      </c>
      <c r="C1134" t="s">
        <v>602</v>
      </c>
      <c r="D1134" t="s">
        <v>1066</v>
      </c>
      <c r="E1134" t="s">
        <v>2336</v>
      </c>
      <c r="F1134">
        <v>4166631</v>
      </c>
      <c r="G1134">
        <v>218608</v>
      </c>
      <c r="H1134" t="s">
        <v>964</v>
      </c>
      <c r="I1134">
        <v>186</v>
      </c>
      <c r="J1134">
        <v>190</v>
      </c>
      <c r="K1134" t="s">
        <v>2155</v>
      </c>
      <c r="L1134" t="s">
        <v>1581</v>
      </c>
      <c r="M1134" t="s">
        <v>2337</v>
      </c>
    </row>
    <row r="1135" spans="1:13" x14ac:dyDescent="0.35">
      <c r="A1135">
        <v>101349</v>
      </c>
      <c r="B1135">
        <v>980</v>
      </c>
      <c r="C1135" t="s">
        <v>602</v>
      </c>
      <c r="D1135" t="s">
        <v>962</v>
      </c>
      <c r="E1135" t="s">
        <v>2338</v>
      </c>
      <c r="F1135">
        <v>3417</v>
      </c>
      <c r="G1135">
        <v>219740</v>
      </c>
      <c r="H1135" t="s">
        <v>964</v>
      </c>
      <c r="I1135">
        <v>185</v>
      </c>
      <c r="J1135">
        <v>186</v>
      </c>
      <c r="K1135" t="s">
        <v>979</v>
      </c>
      <c r="L1135" t="s">
        <v>965</v>
      </c>
      <c r="M1135" t="s">
        <v>2339</v>
      </c>
    </row>
    <row r="1136" spans="1:13" x14ac:dyDescent="0.35">
      <c r="A1136">
        <v>104160</v>
      </c>
      <c r="B1136">
        <v>1682</v>
      </c>
      <c r="C1136" t="s">
        <v>602</v>
      </c>
      <c r="D1136" t="s">
        <v>1066</v>
      </c>
      <c r="E1136" t="s">
        <v>2340</v>
      </c>
      <c r="F1136">
        <v>4166583</v>
      </c>
      <c r="G1136">
        <v>226808</v>
      </c>
      <c r="H1136" t="s">
        <v>964</v>
      </c>
      <c r="I1136">
        <v>185</v>
      </c>
      <c r="J1136">
        <v>189</v>
      </c>
      <c r="K1136" t="s">
        <v>2155</v>
      </c>
      <c r="L1136" t="s">
        <v>1581</v>
      </c>
      <c r="M1136" t="s">
        <v>2341</v>
      </c>
    </row>
    <row r="1137" spans="1:13" x14ac:dyDescent="0.35">
      <c r="A1137">
        <v>0</v>
      </c>
      <c r="B1137">
        <v>2913</v>
      </c>
      <c r="C1137" t="s">
        <v>602</v>
      </c>
      <c r="D1137" t="s">
        <v>1301</v>
      </c>
      <c r="E1137" t="s">
        <v>2342</v>
      </c>
      <c r="F1137">
        <v>7139</v>
      </c>
      <c r="I1137">
        <v>185</v>
      </c>
      <c r="J1137">
        <v>184</v>
      </c>
      <c r="M1137" t="s">
        <v>2342</v>
      </c>
    </row>
    <row r="1138" spans="1:13" x14ac:dyDescent="0.35">
      <c r="A1138">
        <v>103361</v>
      </c>
      <c r="B1138">
        <v>1522</v>
      </c>
      <c r="C1138" t="s">
        <v>597</v>
      </c>
      <c r="D1138" t="s">
        <v>1066</v>
      </c>
      <c r="E1138" t="s">
        <v>2343</v>
      </c>
      <c r="F1138">
        <v>4167116</v>
      </c>
      <c r="G1138">
        <v>221032</v>
      </c>
      <c r="H1138" t="s">
        <v>964</v>
      </c>
      <c r="I1138">
        <v>184</v>
      </c>
      <c r="J1138">
        <v>188</v>
      </c>
      <c r="K1138" t="s">
        <v>2344</v>
      </c>
      <c r="L1138" t="s">
        <v>980</v>
      </c>
      <c r="M1138" t="s">
        <v>2345</v>
      </c>
    </row>
    <row r="1139" spans="1:13" x14ac:dyDescent="0.35">
      <c r="A1139">
        <v>104223</v>
      </c>
      <c r="B1139">
        <v>1265</v>
      </c>
      <c r="C1139" t="s">
        <v>602</v>
      </c>
      <c r="D1139" t="s">
        <v>962</v>
      </c>
      <c r="E1139" t="s">
        <v>2346</v>
      </c>
      <c r="F1139">
        <v>5412</v>
      </c>
      <c r="G1139">
        <v>227248</v>
      </c>
      <c r="H1139" t="s">
        <v>964</v>
      </c>
      <c r="I1139">
        <v>184</v>
      </c>
      <c r="J1139">
        <v>185</v>
      </c>
      <c r="K1139" t="s">
        <v>979</v>
      </c>
      <c r="L1139" t="s">
        <v>965</v>
      </c>
      <c r="M1139" t="s">
        <v>2347</v>
      </c>
    </row>
    <row r="1140" spans="1:13" x14ac:dyDescent="0.35">
      <c r="A1140">
        <v>0</v>
      </c>
      <c r="B1140">
        <v>2912</v>
      </c>
      <c r="C1140" t="s">
        <v>602</v>
      </c>
      <c r="D1140" t="s">
        <v>1301</v>
      </c>
      <c r="E1140" t="s">
        <v>2348</v>
      </c>
      <c r="F1140">
        <v>7138</v>
      </c>
      <c r="I1140">
        <v>184</v>
      </c>
      <c r="J1140">
        <v>183</v>
      </c>
      <c r="M1140" t="s">
        <v>2348</v>
      </c>
    </row>
    <row r="1141" spans="1:13" x14ac:dyDescent="0.35">
      <c r="A1141">
        <v>103672</v>
      </c>
      <c r="B1141">
        <v>1637</v>
      </c>
      <c r="C1141" t="s">
        <v>597</v>
      </c>
      <c r="D1141" t="s">
        <v>1066</v>
      </c>
      <c r="E1141" t="s">
        <v>2349</v>
      </c>
      <c r="F1141">
        <v>4168146</v>
      </c>
      <c r="G1141">
        <v>219831</v>
      </c>
      <c r="I1141">
        <v>183</v>
      </c>
      <c r="J1141">
        <v>187</v>
      </c>
      <c r="K1141" t="s">
        <v>2344</v>
      </c>
      <c r="L1141" t="s">
        <v>965</v>
      </c>
      <c r="M1141" t="s">
        <v>2350</v>
      </c>
    </row>
    <row r="1142" spans="1:13" x14ac:dyDescent="0.35">
      <c r="A1142">
        <v>101559</v>
      </c>
      <c r="B1142">
        <v>1152</v>
      </c>
      <c r="C1142" t="s">
        <v>602</v>
      </c>
      <c r="D1142" t="s">
        <v>962</v>
      </c>
      <c r="E1142" t="s">
        <v>2351</v>
      </c>
      <c r="F1142">
        <v>3947</v>
      </c>
      <c r="G1142">
        <v>222118</v>
      </c>
      <c r="H1142" t="s">
        <v>964</v>
      </c>
      <c r="I1142">
        <v>183</v>
      </c>
      <c r="J1142">
        <v>184</v>
      </c>
      <c r="K1142" t="s">
        <v>979</v>
      </c>
      <c r="L1142" t="s">
        <v>965</v>
      </c>
      <c r="M1142" t="s">
        <v>2352</v>
      </c>
    </row>
    <row r="1143" spans="1:13" x14ac:dyDescent="0.35">
      <c r="A1143">
        <v>0</v>
      </c>
      <c r="B1143">
        <v>2911</v>
      </c>
      <c r="C1143" t="s">
        <v>602</v>
      </c>
      <c r="D1143" t="s">
        <v>1301</v>
      </c>
      <c r="E1143" t="s">
        <v>2353</v>
      </c>
      <c r="F1143">
        <v>7137</v>
      </c>
      <c r="I1143">
        <v>183</v>
      </c>
      <c r="J1143">
        <v>182</v>
      </c>
      <c r="M1143" t="s">
        <v>2353</v>
      </c>
    </row>
    <row r="1144" spans="1:13" x14ac:dyDescent="0.35">
      <c r="A1144">
        <v>103446</v>
      </c>
      <c r="B1144">
        <v>1587</v>
      </c>
      <c r="C1144" t="s">
        <v>602</v>
      </c>
      <c r="D1144" t="s">
        <v>1066</v>
      </c>
      <c r="E1144" t="s">
        <v>2354</v>
      </c>
      <c r="F1144">
        <v>4168000</v>
      </c>
      <c r="G1144">
        <v>22842</v>
      </c>
      <c r="H1144" t="s">
        <v>964</v>
      </c>
      <c r="I1144">
        <v>182</v>
      </c>
      <c r="J1144">
        <v>186</v>
      </c>
      <c r="K1144" t="s">
        <v>2155</v>
      </c>
      <c r="L1144" t="s">
        <v>965</v>
      </c>
      <c r="M1144" t="s">
        <v>2355</v>
      </c>
    </row>
    <row r="1145" spans="1:13" x14ac:dyDescent="0.35">
      <c r="A1145">
        <v>103875</v>
      </c>
      <c r="B1145">
        <v>1223</v>
      </c>
      <c r="C1145" t="s">
        <v>597</v>
      </c>
      <c r="D1145" t="s">
        <v>962</v>
      </c>
      <c r="E1145" t="s">
        <v>2356</v>
      </c>
      <c r="F1145">
        <v>4961</v>
      </c>
      <c r="I1145">
        <v>182</v>
      </c>
      <c r="J1145">
        <v>183</v>
      </c>
      <c r="M1145" t="s">
        <v>2357</v>
      </c>
    </row>
    <row r="1146" spans="1:13" x14ac:dyDescent="0.35">
      <c r="A1146">
        <v>0</v>
      </c>
      <c r="B1146">
        <v>2910</v>
      </c>
      <c r="C1146" t="s">
        <v>602</v>
      </c>
      <c r="D1146" t="s">
        <v>1301</v>
      </c>
      <c r="E1146" t="s">
        <v>2358</v>
      </c>
      <c r="F1146">
        <v>7136</v>
      </c>
      <c r="I1146">
        <v>182</v>
      </c>
      <c r="J1146">
        <v>181</v>
      </c>
      <c r="M1146" t="s">
        <v>2358</v>
      </c>
    </row>
    <row r="1147" spans="1:13" x14ac:dyDescent="0.35">
      <c r="A1147">
        <v>102074</v>
      </c>
      <c r="B1147">
        <v>1382</v>
      </c>
      <c r="C1147" t="s">
        <v>602</v>
      </c>
      <c r="D1147" t="s">
        <v>1066</v>
      </c>
      <c r="E1147" t="s">
        <v>2359</v>
      </c>
      <c r="F1147">
        <v>4168132</v>
      </c>
      <c r="G1147">
        <v>217632</v>
      </c>
      <c r="H1147" t="s">
        <v>964</v>
      </c>
      <c r="I1147">
        <v>181</v>
      </c>
      <c r="J1147">
        <v>185</v>
      </c>
      <c r="K1147" t="s">
        <v>2155</v>
      </c>
      <c r="L1147" t="s">
        <v>965</v>
      </c>
      <c r="M1147" t="s">
        <v>2360</v>
      </c>
    </row>
    <row r="1148" spans="1:13" x14ac:dyDescent="0.35">
      <c r="A1148">
        <v>0</v>
      </c>
      <c r="B1148">
        <v>2909</v>
      </c>
      <c r="C1148" t="s">
        <v>602</v>
      </c>
      <c r="D1148" t="s">
        <v>1301</v>
      </c>
      <c r="E1148" t="s">
        <v>2361</v>
      </c>
      <c r="F1148">
        <v>7135</v>
      </c>
      <c r="I1148">
        <v>181</v>
      </c>
      <c r="J1148">
        <v>180</v>
      </c>
      <c r="M1148" t="s">
        <v>2361</v>
      </c>
    </row>
    <row r="1149" spans="1:13" x14ac:dyDescent="0.35">
      <c r="A1149">
        <v>101440</v>
      </c>
      <c r="B1149">
        <v>1053</v>
      </c>
      <c r="C1149" t="s">
        <v>602</v>
      </c>
      <c r="D1149" t="s">
        <v>962</v>
      </c>
      <c r="E1149" t="s">
        <v>2362</v>
      </c>
      <c r="F1149">
        <v>3525</v>
      </c>
      <c r="G1149">
        <v>220685</v>
      </c>
      <c r="H1149" t="s">
        <v>964</v>
      </c>
      <c r="I1149">
        <v>181</v>
      </c>
      <c r="J1149">
        <v>182</v>
      </c>
      <c r="K1149" t="s">
        <v>979</v>
      </c>
      <c r="L1149" t="s">
        <v>980</v>
      </c>
      <c r="M1149" t="s">
        <v>2363</v>
      </c>
    </row>
    <row r="1150" spans="1:13" x14ac:dyDescent="0.35">
      <c r="A1150">
        <v>103903</v>
      </c>
      <c r="B1150">
        <v>1231</v>
      </c>
      <c r="C1150" t="s">
        <v>602</v>
      </c>
      <c r="D1150" t="s">
        <v>962</v>
      </c>
      <c r="E1150" t="s">
        <v>2364</v>
      </c>
      <c r="F1150">
        <v>4939</v>
      </c>
      <c r="G1150">
        <v>225377</v>
      </c>
      <c r="H1150" t="s">
        <v>964</v>
      </c>
      <c r="I1150">
        <v>180</v>
      </c>
      <c r="J1150">
        <v>181</v>
      </c>
      <c r="K1150" t="s">
        <v>979</v>
      </c>
      <c r="L1150" t="s">
        <v>980</v>
      </c>
      <c r="M1150" t="s">
        <v>2365</v>
      </c>
    </row>
    <row r="1151" spans="1:13" x14ac:dyDescent="0.35">
      <c r="A1151">
        <v>0</v>
      </c>
      <c r="B1151">
        <v>2908</v>
      </c>
      <c r="C1151" t="s">
        <v>602</v>
      </c>
      <c r="D1151" t="s">
        <v>1301</v>
      </c>
      <c r="E1151" t="s">
        <v>2366</v>
      </c>
      <c r="F1151">
        <v>7134</v>
      </c>
      <c r="I1151">
        <v>180</v>
      </c>
      <c r="J1151">
        <v>179</v>
      </c>
      <c r="M1151" t="s">
        <v>2366</v>
      </c>
    </row>
    <row r="1152" spans="1:13" x14ac:dyDescent="0.35">
      <c r="A1152">
        <v>103474</v>
      </c>
      <c r="B1152">
        <v>1601</v>
      </c>
      <c r="C1152" t="s">
        <v>602</v>
      </c>
      <c r="D1152" t="s">
        <v>1066</v>
      </c>
      <c r="E1152" t="s">
        <v>2367</v>
      </c>
      <c r="F1152">
        <v>4168133</v>
      </c>
      <c r="G1152">
        <v>220987</v>
      </c>
      <c r="H1152" t="s">
        <v>964</v>
      </c>
      <c r="I1152">
        <v>180</v>
      </c>
      <c r="J1152">
        <v>184</v>
      </c>
      <c r="K1152" t="s">
        <v>2155</v>
      </c>
      <c r="L1152" t="s">
        <v>980</v>
      </c>
      <c r="M1152" t="s">
        <v>2368</v>
      </c>
    </row>
    <row r="1153" spans="1:13" x14ac:dyDescent="0.35">
      <c r="A1153">
        <v>103273</v>
      </c>
      <c r="B1153">
        <v>1470</v>
      </c>
      <c r="C1153" t="s">
        <v>602</v>
      </c>
      <c r="D1153" t="s">
        <v>1066</v>
      </c>
      <c r="E1153" t="s">
        <v>2369</v>
      </c>
      <c r="F1153">
        <v>4166503</v>
      </c>
      <c r="G1153">
        <v>220863</v>
      </c>
      <c r="H1153" t="s">
        <v>964</v>
      </c>
      <c r="I1153">
        <v>179</v>
      </c>
      <c r="J1153">
        <v>183</v>
      </c>
      <c r="K1153" t="s">
        <v>2155</v>
      </c>
      <c r="L1153" t="s">
        <v>980</v>
      </c>
      <c r="M1153" t="s">
        <v>2370</v>
      </c>
    </row>
    <row r="1154" spans="1:13" x14ac:dyDescent="0.35">
      <c r="A1154">
        <v>103570</v>
      </c>
      <c r="B1154">
        <v>1197</v>
      </c>
      <c r="C1154" t="s">
        <v>602</v>
      </c>
      <c r="D1154" t="s">
        <v>962</v>
      </c>
      <c r="E1154" t="s">
        <v>2371</v>
      </c>
      <c r="F1154">
        <v>4530</v>
      </c>
      <c r="G1154">
        <v>222963</v>
      </c>
      <c r="H1154" t="s">
        <v>964</v>
      </c>
      <c r="I1154">
        <v>179</v>
      </c>
      <c r="J1154">
        <v>180</v>
      </c>
      <c r="K1154" t="s">
        <v>979</v>
      </c>
      <c r="L1154" t="s">
        <v>965</v>
      </c>
      <c r="M1154" t="s">
        <v>2372</v>
      </c>
    </row>
    <row r="1155" spans="1:13" x14ac:dyDescent="0.35">
      <c r="A1155">
        <v>0</v>
      </c>
      <c r="B1155">
        <v>2907</v>
      </c>
      <c r="C1155" t="s">
        <v>602</v>
      </c>
      <c r="D1155" t="s">
        <v>1301</v>
      </c>
      <c r="E1155" t="s">
        <v>2373</v>
      </c>
      <c r="F1155">
        <v>7133</v>
      </c>
      <c r="I1155">
        <v>179</v>
      </c>
      <c r="J1155">
        <v>178</v>
      </c>
      <c r="M1155" t="s">
        <v>2373</v>
      </c>
    </row>
    <row r="1156" spans="1:13" x14ac:dyDescent="0.35">
      <c r="A1156">
        <v>0</v>
      </c>
      <c r="B1156">
        <v>2906</v>
      </c>
      <c r="C1156" t="s">
        <v>602</v>
      </c>
      <c r="D1156" t="s">
        <v>1301</v>
      </c>
      <c r="E1156" t="s">
        <v>2374</v>
      </c>
      <c r="F1156">
        <v>7132</v>
      </c>
      <c r="I1156">
        <v>178</v>
      </c>
      <c r="J1156">
        <v>177</v>
      </c>
      <c r="M1156" t="s">
        <v>2374</v>
      </c>
    </row>
    <row r="1157" spans="1:13" x14ac:dyDescent="0.35">
      <c r="A1157">
        <v>103418</v>
      </c>
      <c r="B1157">
        <v>1563</v>
      </c>
      <c r="C1157" t="s">
        <v>602</v>
      </c>
      <c r="D1157" t="s">
        <v>1066</v>
      </c>
      <c r="E1157" t="s">
        <v>2375</v>
      </c>
      <c r="F1157">
        <v>4167104</v>
      </c>
      <c r="G1157">
        <v>222719</v>
      </c>
      <c r="H1157" t="s">
        <v>964</v>
      </c>
      <c r="I1157">
        <v>178</v>
      </c>
      <c r="J1157">
        <v>182</v>
      </c>
      <c r="K1157" t="s">
        <v>2155</v>
      </c>
      <c r="L1157" t="s">
        <v>980</v>
      </c>
      <c r="M1157" t="s">
        <v>2376</v>
      </c>
    </row>
    <row r="1158" spans="1:13" x14ac:dyDescent="0.35">
      <c r="A1158">
        <v>101367</v>
      </c>
      <c r="B1158">
        <v>994</v>
      </c>
      <c r="C1158" t="s">
        <v>602</v>
      </c>
      <c r="D1158" t="s">
        <v>962</v>
      </c>
      <c r="E1158" t="s">
        <v>2377</v>
      </c>
      <c r="F1158">
        <v>3458</v>
      </c>
      <c r="G1158">
        <v>219764</v>
      </c>
      <c r="H1158" t="s">
        <v>964</v>
      </c>
      <c r="I1158">
        <v>178</v>
      </c>
      <c r="J1158">
        <v>179</v>
      </c>
      <c r="K1158" t="s">
        <v>1051</v>
      </c>
      <c r="L1158" t="s">
        <v>965</v>
      </c>
      <c r="M1158" t="s">
        <v>2378</v>
      </c>
    </row>
    <row r="1159" spans="1:13" x14ac:dyDescent="0.35">
      <c r="A1159">
        <v>0</v>
      </c>
      <c r="B1159">
        <v>2905</v>
      </c>
      <c r="C1159" t="s">
        <v>602</v>
      </c>
      <c r="D1159" t="s">
        <v>1301</v>
      </c>
      <c r="E1159" t="s">
        <v>2379</v>
      </c>
      <c r="F1159">
        <v>7131</v>
      </c>
      <c r="I1159">
        <v>177</v>
      </c>
      <c r="J1159">
        <v>176</v>
      </c>
      <c r="M1159" t="s">
        <v>2379</v>
      </c>
    </row>
    <row r="1160" spans="1:13" x14ac:dyDescent="0.35">
      <c r="A1160">
        <v>101568</v>
      </c>
      <c r="B1160">
        <v>1161</v>
      </c>
      <c r="C1160" t="s">
        <v>602</v>
      </c>
      <c r="D1160" t="s">
        <v>962</v>
      </c>
      <c r="E1160" t="s">
        <v>2380</v>
      </c>
      <c r="F1160">
        <v>3730</v>
      </c>
      <c r="G1160">
        <v>222213</v>
      </c>
      <c r="H1160" t="s">
        <v>964</v>
      </c>
      <c r="I1160">
        <v>177</v>
      </c>
      <c r="J1160">
        <v>178</v>
      </c>
      <c r="K1160" t="s">
        <v>979</v>
      </c>
      <c r="L1160" t="s">
        <v>965</v>
      </c>
      <c r="M1160" t="s">
        <v>2381</v>
      </c>
    </row>
    <row r="1161" spans="1:13" x14ac:dyDescent="0.35">
      <c r="A1161">
        <v>103673</v>
      </c>
      <c r="B1161">
        <v>1638</v>
      </c>
      <c r="C1161" t="s">
        <v>602</v>
      </c>
      <c r="D1161" t="s">
        <v>1066</v>
      </c>
      <c r="E1161" t="s">
        <v>2382</v>
      </c>
      <c r="F1161">
        <v>4168136</v>
      </c>
      <c r="G1161">
        <v>223106</v>
      </c>
      <c r="H1161" t="s">
        <v>964</v>
      </c>
      <c r="I1161">
        <v>177</v>
      </c>
      <c r="J1161">
        <v>181</v>
      </c>
      <c r="K1161" t="s">
        <v>2155</v>
      </c>
      <c r="L1161" t="s">
        <v>980</v>
      </c>
      <c r="M1161" t="s">
        <v>2383</v>
      </c>
    </row>
    <row r="1162" spans="1:13" x14ac:dyDescent="0.35">
      <c r="A1162">
        <v>0</v>
      </c>
      <c r="B1162">
        <v>2904</v>
      </c>
      <c r="C1162" t="s">
        <v>602</v>
      </c>
      <c r="D1162" t="s">
        <v>1301</v>
      </c>
      <c r="E1162" t="s">
        <v>2384</v>
      </c>
      <c r="F1162">
        <v>7130</v>
      </c>
      <c r="I1162">
        <v>176</v>
      </c>
      <c r="J1162">
        <v>175</v>
      </c>
      <c r="M1162" t="s">
        <v>2384</v>
      </c>
    </row>
    <row r="1163" spans="1:13" x14ac:dyDescent="0.35">
      <c r="A1163">
        <v>103429</v>
      </c>
      <c r="B1163">
        <v>1572</v>
      </c>
      <c r="C1163" t="s">
        <v>602</v>
      </c>
      <c r="D1163" t="s">
        <v>1066</v>
      </c>
      <c r="E1163" t="s">
        <v>2385</v>
      </c>
      <c r="F1163">
        <v>4168131</v>
      </c>
      <c r="G1163">
        <v>217713</v>
      </c>
      <c r="H1163" t="s">
        <v>964</v>
      </c>
      <c r="I1163">
        <v>176</v>
      </c>
      <c r="J1163">
        <v>180</v>
      </c>
      <c r="K1163" t="s">
        <v>2386</v>
      </c>
      <c r="L1163" t="s">
        <v>965</v>
      </c>
      <c r="M1163" t="s">
        <v>2387</v>
      </c>
    </row>
    <row r="1164" spans="1:13" x14ac:dyDescent="0.35">
      <c r="A1164">
        <v>101570</v>
      </c>
      <c r="B1164">
        <v>1163</v>
      </c>
      <c r="C1164" t="s">
        <v>602</v>
      </c>
      <c r="D1164" t="s">
        <v>962</v>
      </c>
      <c r="E1164" t="s">
        <v>2388</v>
      </c>
      <c r="F1164">
        <v>3946</v>
      </c>
      <c r="G1164">
        <v>222230</v>
      </c>
      <c r="H1164" t="s">
        <v>964</v>
      </c>
      <c r="I1164">
        <v>176</v>
      </c>
      <c r="J1164">
        <v>177</v>
      </c>
      <c r="K1164" t="s">
        <v>979</v>
      </c>
      <c r="L1164" t="s">
        <v>965</v>
      </c>
      <c r="M1164" t="s">
        <v>2389</v>
      </c>
    </row>
    <row r="1165" spans="1:13" x14ac:dyDescent="0.35">
      <c r="A1165">
        <v>0</v>
      </c>
      <c r="B1165">
        <v>2903</v>
      </c>
      <c r="C1165" t="s">
        <v>602</v>
      </c>
      <c r="D1165" t="s">
        <v>1301</v>
      </c>
      <c r="E1165" t="s">
        <v>2390</v>
      </c>
      <c r="F1165">
        <v>7129</v>
      </c>
      <c r="I1165">
        <v>175</v>
      </c>
      <c r="J1165">
        <v>174</v>
      </c>
      <c r="M1165" t="s">
        <v>2390</v>
      </c>
    </row>
    <row r="1166" spans="1:13" x14ac:dyDescent="0.35">
      <c r="A1166">
        <v>101518</v>
      </c>
      <c r="B1166">
        <v>1113</v>
      </c>
      <c r="C1166" t="s">
        <v>602</v>
      </c>
      <c r="D1166" t="s">
        <v>962</v>
      </c>
      <c r="E1166" t="s">
        <v>2391</v>
      </c>
      <c r="F1166">
        <v>3729</v>
      </c>
      <c r="G1166">
        <v>221720</v>
      </c>
      <c r="H1166" t="s">
        <v>964</v>
      </c>
      <c r="I1166">
        <v>175</v>
      </c>
      <c r="J1166">
        <v>176</v>
      </c>
      <c r="K1166" t="s">
        <v>979</v>
      </c>
      <c r="L1166" t="s">
        <v>965</v>
      </c>
      <c r="M1166" t="s">
        <v>2392</v>
      </c>
    </row>
    <row r="1167" spans="1:13" x14ac:dyDescent="0.35">
      <c r="A1167">
        <v>101016</v>
      </c>
      <c r="B1167">
        <v>1359</v>
      </c>
      <c r="C1167" t="s">
        <v>602</v>
      </c>
      <c r="D1167" t="s">
        <v>1066</v>
      </c>
      <c r="E1167" t="s">
        <v>2393</v>
      </c>
      <c r="F1167">
        <v>4167200</v>
      </c>
      <c r="G1167">
        <v>218742</v>
      </c>
      <c r="H1167" t="s">
        <v>964</v>
      </c>
      <c r="I1167">
        <v>175</v>
      </c>
      <c r="J1167">
        <v>179</v>
      </c>
      <c r="K1167" t="s">
        <v>2386</v>
      </c>
      <c r="L1167" t="s">
        <v>965</v>
      </c>
      <c r="M1167" t="s">
        <v>2394</v>
      </c>
    </row>
    <row r="1168" spans="1:13" x14ac:dyDescent="0.35">
      <c r="A1168">
        <v>101334</v>
      </c>
      <c r="B1168">
        <v>970</v>
      </c>
      <c r="C1168" t="s">
        <v>602</v>
      </c>
      <c r="D1168" t="s">
        <v>962</v>
      </c>
      <c r="E1168" t="s">
        <v>2395</v>
      </c>
      <c r="F1168">
        <v>3444</v>
      </c>
      <c r="G1168">
        <v>219732</v>
      </c>
      <c r="H1168" t="s">
        <v>964</v>
      </c>
      <c r="I1168">
        <v>174</v>
      </c>
      <c r="J1168">
        <v>175</v>
      </c>
      <c r="K1168" t="s">
        <v>979</v>
      </c>
      <c r="L1168" t="s">
        <v>965</v>
      </c>
      <c r="M1168" t="s">
        <v>2396</v>
      </c>
    </row>
    <row r="1169" spans="1:13" x14ac:dyDescent="0.35">
      <c r="A1169">
        <v>103529</v>
      </c>
      <c r="B1169">
        <v>1622</v>
      </c>
      <c r="C1169" t="s">
        <v>602</v>
      </c>
      <c r="D1169" t="s">
        <v>1066</v>
      </c>
      <c r="E1169" t="s">
        <v>2397</v>
      </c>
      <c r="F1169">
        <v>4168003</v>
      </c>
      <c r="G1169">
        <v>220653</v>
      </c>
      <c r="H1169" t="s">
        <v>964</v>
      </c>
      <c r="I1169">
        <v>174</v>
      </c>
      <c r="J1169">
        <v>178</v>
      </c>
      <c r="K1169" t="s">
        <v>2155</v>
      </c>
      <c r="L1169" t="s">
        <v>965</v>
      </c>
      <c r="M1169" t="s">
        <v>2398</v>
      </c>
    </row>
    <row r="1170" spans="1:13" x14ac:dyDescent="0.35">
      <c r="A1170">
        <v>0</v>
      </c>
      <c r="B1170">
        <v>2902</v>
      </c>
      <c r="C1170" t="s">
        <v>602</v>
      </c>
      <c r="D1170" t="s">
        <v>1301</v>
      </c>
      <c r="E1170" t="s">
        <v>2399</v>
      </c>
      <c r="F1170">
        <v>7128</v>
      </c>
      <c r="I1170">
        <v>174</v>
      </c>
      <c r="J1170">
        <v>173</v>
      </c>
      <c r="M1170" t="s">
        <v>2399</v>
      </c>
    </row>
    <row r="1171" spans="1:13" x14ac:dyDescent="0.35">
      <c r="A1171">
        <v>0</v>
      </c>
      <c r="B1171">
        <v>2901</v>
      </c>
      <c r="C1171" t="s">
        <v>602</v>
      </c>
      <c r="D1171" t="s">
        <v>1301</v>
      </c>
      <c r="E1171" t="s">
        <v>2400</v>
      </c>
      <c r="F1171">
        <v>7127</v>
      </c>
      <c r="I1171">
        <v>173</v>
      </c>
      <c r="J1171">
        <v>172</v>
      </c>
      <c r="M1171" t="s">
        <v>2400</v>
      </c>
    </row>
    <row r="1172" spans="1:13" x14ac:dyDescent="0.35">
      <c r="A1172">
        <v>101351</v>
      </c>
      <c r="B1172">
        <v>982</v>
      </c>
      <c r="C1172" t="s">
        <v>602</v>
      </c>
      <c r="D1172" t="s">
        <v>962</v>
      </c>
      <c r="E1172" t="s">
        <v>2401</v>
      </c>
      <c r="F1172">
        <v>3440</v>
      </c>
      <c r="G1172">
        <v>219769</v>
      </c>
      <c r="H1172" t="s">
        <v>964</v>
      </c>
      <c r="I1172">
        <v>173</v>
      </c>
      <c r="J1172">
        <v>174</v>
      </c>
      <c r="K1172" t="s">
        <v>979</v>
      </c>
      <c r="L1172" t="s">
        <v>965</v>
      </c>
      <c r="M1172" t="s">
        <v>2402</v>
      </c>
    </row>
    <row r="1173" spans="1:13" x14ac:dyDescent="0.35">
      <c r="A1173">
        <v>103630</v>
      </c>
      <c r="B1173">
        <v>1632</v>
      </c>
      <c r="C1173" t="s">
        <v>602</v>
      </c>
      <c r="D1173" t="s">
        <v>1066</v>
      </c>
      <c r="E1173" t="s">
        <v>2403</v>
      </c>
      <c r="F1173">
        <v>4168140</v>
      </c>
      <c r="G1173">
        <v>223041</v>
      </c>
      <c r="H1173" t="s">
        <v>964</v>
      </c>
      <c r="I1173">
        <v>173</v>
      </c>
      <c r="J1173">
        <v>177</v>
      </c>
      <c r="K1173" t="s">
        <v>2155</v>
      </c>
      <c r="L1173" t="s">
        <v>965</v>
      </c>
      <c r="M1173" t="s">
        <v>2404</v>
      </c>
    </row>
    <row r="1174" spans="1:13" x14ac:dyDescent="0.35">
      <c r="A1174">
        <v>102091</v>
      </c>
      <c r="B1174">
        <v>1392</v>
      </c>
      <c r="C1174" t="s">
        <v>602</v>
      </c>
      <c r="D1174" t="s">
        <v>1066</v>
      </c>
      <c r="E1174" t="s">
        <v>2405</v>
      </c>
      <c r="F1174">
        <v>4168141</v>
      </c>
      <c r="G1174">
        <v>220577</v>
      </c>
      <c r="H1174" t="s">
        <v>964</v>
      </c>
      <c r="I1174">
        <v>172</v>
      </c>
      <c r="J1174">
        <v>176</v>
      </c>
      <c r="K1174" t="s">
        <v>2155</v>
      </c>
      <c r="L1174" t="s">
        <v>980</v>
      </c>
      <c r="M1174" t="s">
        <v>2406</v>
      </c>
    </row>
    <row r="1175" spans="1:13" x14ac:dyDescent="0.35">
      <c r="A1175">
        <v>103377</v>
      </c>
      <c r="B1175">
        <v>1194</v>
      </c>
      <c r="C1175" t="s">
        <v>602</v>
      </c>
      <c r="D1175" t="s">
        <v>962</v>
      </c>
      <c r="E1175" t="s">
        <v>2407</v>
      </c>
      <c r="F1175">
        <v>4052</v>
      </c>
      <c r="G1175">
        <v>222673</v>
      </c>
      <c r="H1175" t="s">
        <v>964</v>
      </c>
      <c r="I1175">
        <v>172</v>
      </c>
      <c r="J1175">
        <v>173</v>
      </c>
      <c r="K1175" t="s">
        <v>979</v>
      </c>
      <c r="L1175" t="s">
        <v>980</v>
      </c>
      <c r="M1175" t="s">
        <v>2408</v>
      </c>
    </row>
    <row r="1176" spans="1:13" x14ac:dyDescent="0.35">
      <c r="A1176">
        <v>0</v>
      </c>
      <c r="B1176">
        <v>2900</v>
      </c>
      <c r="C1176" t="s">
        <v>602</v>
      </c>
      <c r="D1176" t="s">
        <v>1301</v>
      </c>
      <c r="E1176" t="s">
        <v>2409</v>
      </c>
      <c r="F1176">
        <v>7126</v>
      </c>
      <c r="I1176">
        <v>172</v>
      </c>
      <c r="J1176">
        <v>171</v>
      </c>
      <c r="M1176" t="s">
        <v>2409</v>
      </c>
    </row>
    <row r="1177" spans="1:13" x14ac:dyDescent="0.35">
      <c r="A1177">
        <v>0</v>
      </c>
      <c r="B1177">
        <v>2899</v>
      </c>
      <c r="C1177" t="s">
        <v>602</v>
      </c>
      <c r="D1177" t="s">
        <v>1301</v>
      </c>
      <c r="E1177" t="s">
        <v>2410</v>
      </c>
      <c r="F1177">
        <v>7125</v>
      </c>
      <c r="I1177">
        <v>171</v>
      </c>
      <c r="J1177">
        <v>170</v>
      </c>
      <c r="M1177" t="s">
        <v>2410</v>
      </c>
    </row>
    <row r="1178" spans="1:13" x14ac:dyDescent="0.35">
      <c r="A1178">
        <v>101331</v>
      </c>
      <c r="B1178">
        <v>968</v>
      </c>
      <c r="C1178" t="s">
        <v>602</v>
      </c>
      <c r="D1178" t="s">
        <v>962</v>
      </c>
      <c r="E1178" t="s">
        <v>2411</v>
      </c>
      <c r="F1178">
        <v>3420</v>
      </c>
      <c r="G1178">
        <v>219757</v>
      </c>
      <c r="H1178" t="s">
        <v>964</v>
      </c>
      <c r="I1178">
        <v>171</v>
      </c>
      <c r="J1178">
        <v>172</v>
      </c>
      <c r="K1178" t="s">
        <v>979</v>
      </c>
      <c r="L1178" t="s">
        <v>965</v>
      </c>
      <c r="M1178" t="s">
        <v>2412</v>
      </c>
    </row>
    <row r="1179" spans="1:13" x14ac:dyDescent="0.35">
      <c r="A1179">
        <v>103477</v>
      </c>
      <c r="B1179">
        <v>1604</v>
      </c>
      <c r="C1179" t="s">
        <v>602</v>
      </c>
      <c r="D1179" t="s">
        <v>1066</v>
      </c>
      <c r="E1179" t="s">
        <v>2413</v>
      </c>
      <c r="F1179">
        <v>4167160</v>
      </c>
      <c r="G1179">
        <v>220988</v>
      </c>
      <c r="H1179" t="s">
        <v>964</v>
      </c>
      <c r="I1179">
        <v>171</v>
      </c>
      <c r="J1179">
        <v>175</v>
      </c>
      <c r="K1179" t="s">
        <v>2155</v>
      </c>
      <c r="L1179" t="s">
        <v>980</v>
      </c>
      <c r="M1179" t="s">
        <v>2414</v>
      </c>
    </row>
    <row r="1180" spans="1:13" x14ac:dyDescent="0.35">
      <c r="A1180">
        <v>101438</v>
      </c>
      <c r="B1180">
        <v>1051</v>
      </c>
      <c r="C1180" t="s">
        <v>602</v>
      </c>
      <c r="D1180" t="s">
        <v>962</v>
      </c>
      <c r="E1180" t="s">
        <v>2415</v>
      </c>
      <c r="F1180">
        <v>3514</v>
      </c>
      <c r="G1180">
        <v>220578</v>
      </c>
      <c r="H1180" t="s">
        <v>964</v>
      </c>
      <c r="I1180">
        <v>170</v>
      </c>
      <c r="J1180">
        <v>171</v>
      </c>
      <c r="K1180" t="s">
        <v>979</v>
      </c>
      <c r="L1180" t="s">
        <v>965</v>
      </c>
      <c r="M1180" t="s">
        <v>2416</v>
      </c>
    </row>
    <row r="1181" spans="1:13" x14ac:dyDescent="0.35">
      <c r="A1181">
        <v>0</v>
      </c>
      <c r="B1181">
        <v>2898</v>
      </c>
      <c r="C1181" t="s">
        <v>602</v>
      </c>
      <c r="D1181" t="s">
        <v>1301</v>
      </c>
      <c r="E1181" t="s">
        <v>2417</v>
      </c>
      <c r="F1181">
        <v>7124</v>
      </c>
      <c r="I1181">
        <v>170</v>
      </c>
      <c r="J1181">
        <v>169</v>
      </c>
      <c r="M1181" t="s">
        <v>2417</v>
      </c>
    </row>
    <row r="1182" spans="1:13" x14ac:dyDescent="0.35">
      <c r="A1182">
        <v>103556</v>
      </c>
      <c r="B1182">
        <v>1626</v>
      </c>
      <c r="C1182" t="s">
        <v>602</v>
      </c>
      <c r="D1182" t="s">
        <v>1066</v>
      </c>
      <c r="E1182" t="s">
        <v>2418</v>
      </c>
      <c r="F1182">
        <v>4167120</v>
      </c>
      <c r="G1182">
        <v>222936</v>
      </c>
      <c r="H1182" t="s">
        <v>964</v>
      </c>
      <c r="I1182">
        <v>170</v>
      </c>
      <c r="J1182">
        <v>174</v>
      </c>
      <c r="K1182" t="s">
        <v>1068</v>
      </c>
      <c r="L1182" t="s">
        <v>965</v>
      </c>
      <c r="M1182" t="s">
        <v>2419</v>
      </c>
    </row>
    <row r="1183" spans="1:13" x14ac:dyDescent="0.35">
      <c r="A1183">
        <v>102131</v>
      </c>
      <c r="B1183">
        <v>1421</v>
      </c>
      <c r="C1183" t="s">
        <v>602</v>
      </c>
      <c r="D1183" t="s">
        <v>1066</v>
      </c>
      <c r="E1183" t="s">
        <v>2420</v>
      </c>
      <c r="F1183">
        <v>4168073</v>
      </c>
      <c r="G1183">
        <v>220676</v>
      </c>
      <c r="H1183" t="s">
        <v>964</v>
      </c>
      <c r="I1183">
        <v>169</v>
      </c>
      <c r="J1183">
        <v>173</v>
      </c>
      <c r="K1183" t="s">
        <v>2155</v>
      </c>
      <c r="L1183" t="s">
        <v>980</v>
      </c>
      <c r="M1183" t="s">
        <v>2421</v>
      </c>
    </row>
    <row r="1184" spans="1:13" x14ac:dyDescent="0.35">
      <c r="A1184">
        <v>101380</v>
      </c>
      <c r="B1184">
        <v>1005</v>
      </c>
      <c r="C1184" t="s">
        <v>602</v>
      </c>
      <c r="D1184" t="s">
        <v>962</v>
      </c>
      <c r="E1184" t="s">
        <v>2422</v>
      </c>
      <c r="F1184">
        <v>3459</v>
      </c>
      <c r="G1184">
        <v>219759</v>
      </c>
      <c r="H1184" t="s">
        <v>964</v>
      </c>
      <c r="I1184">
        <v>169</v>
      </c>
      <c r="J1184">
        <v>170</v>
      </c>
      <c r="K1184" t="s">
        <v>979</v>
      </c>
      <c r="L1184" t="s">
        <v>965</v>
      </c>
      <c r="M1184" t="s">
        <v>2423</v>
      </c>
    </row>
    <row r="1185" spans="1:13" x14ac:dyDescent="0.35">
      <c r="A1185">
        <v>0</v>
      </c>
      <c r="B1185">
        <v>2897</v>
      </c>
      <c r="C1185" t="s">
        <v>602</v>
      </c>
      <c r="D1185" t="s">
        <v>1301</v>
      </c>
      <c r="E1185" t="s">
        <v>2424</v>
      </c>
      <c r="F1185">
        <v>7123</v>
      </c>
      <c r="I1185">
        <v>169</v>
      </c>
      <c r="J1185">
        <v>168</v>
      </c>
      <c r="M1185" t="s">
        <v>2424</v>
      </c>
    </row>
    <row r="1186" spans="1:13" x14ac:dyDescent="0.35">
      <c r="A1186">
        <v>102109</v>
      </c>
      <c r="B1186">
        <v>1408</v>
      </c>
      <c r="C1186" t="s">
        <v>602</v>
      </c>
      <c r="D1186" t="s">
        <v>1066</v>
      </c>
      <c r="E1186" t="s">
        <v>2425</v>
      </c>
      <c r="F1186">
        <v>4168142</v>
      </c>
      <c r="G1186">
        <v>220675</v>
      </c>
      <c r="H1186" t="s">
        <v>964</v>
      </c>
      <c r="I1186">
        <v>168</v>
      </c>
      <c r="J1186">
        <v>172</v>
      </c>
      <c r="K1186" t="s">
        <v>1068</v>
      </c>
      <c r="L1186" t="s">
        <v>965</v>
      </c>
      <c r="M1186" t="s">
        <v>2426</v>
      </c>
    </row>
    <row r="1187" spans="1:13" x14ac:dyDescent="0.35">
      <c r="A1187">
        <v>101593</v>
      </c>
      <c r="B1187">
        <v>1186</v>
      </c>
      <c r="C1187" t="s">
        <v>602</v>
      </c>
      <c r="D1187" t="s">
        <v>962</v>
      </c>
      <c r="E1187" t="s">
        <v>2427</v>
      </c>
      <c r="F1187">
        <v>4519</v>
      </c>
      <c r="G1187">
        <v>222755</v>
      </c>
      <c r="H1187" t="s">
        <v>964</v>
      </c>
      <c r="I1187">
        <v>168</v>
      </c>
      <c r="J1187">
        <v>169</v>
      </c>
      <c r="K1187" t="s">
        <v>979</v>
      </c>
      <c r="L1187" t="s">
        <v>965</v>
      </c>
      <c r="M1187" t="s">
        <v>2428</v>
      </c>
    </row>
    <row r="1188" spans="1:13" x14ac:dyDescent="0.35">
      <c r="A1188">
        <v>0</v>
      </c>
      <c r="B1188">
        <v>2896</v>
      </c>
      <c r="C1188" t="s">
        <v>602</v>
      </c>
      <c r="D1188" t="s">
        <v>1301</v>
      </c>
      <c r="E1188" t="s">
        <v>2429</v>
      </c>
      <c r="F1188">
        <v>7122</v>
      </c>
      <c r="I1188">
        <v>168</v>
      </c>
      <c r="J1188">
        <v>167</v>
      </c>
      <c r="M1188" t="s">
        <v>2429</v>
      </c>
    </row>
    <row r="1189" spans="1:13" x14ac:dyDescent="0.35">
      <c r="A1189">
        <v>101454</v>
      </c>
      <c r="B1189">
        <v>1060</v>
      </c>
      <c r="C1189" t="s">
        <v>602</v>
      </c>
      <c r="D1189" t="s">
        <v>962</v>
      </c>
      <c r="E1189" t="s">
        <v>2430</v>
      </c>
      <c r="F1189">
        <v>3566</v>
      </c>
      <c r="G1189">
        <v>220761</v>
      </c>
      <c r="H1189" t="s">
        <v>964</v>
      </c>
      <c r="I1189">
        <v>167</v>
      </c>
      <c r="J1189">
        <v>168</v>
      </c>
      <c r="K1189" t="s">
        <v>1051</v>
      </c>
      <c r="L1189" t="s">
        <v>980</v>
      </c>
      <c r="M1189" t="s">
        <v>2431</v>
      </c>
    </row>
    <row r="1190" spans="1:13" x14ac:dyDescent="0.35">
      <c r="A1190">
        <v>0</v>
      </c>
      <c r="B1190">
        <v>2895</v>
      </c>
      <c r="C1190" t="s">
        <v>602</v>
      </c>
      <c r="D1190" t="s">
        <v>1301</v>
      </c>
      <c r="E1190" t="s">
        <v>2432</v>
      </c>
      <c r="F1190">
        <v>7121</v>
      </c>
      <c r="I1190">
        <v>167</v>
      </c>
      <c r="J1190">
        <v>166</v>
      </c>
      <c r="M1190" t="s">
        <v>2432</v>
      </c>
    </row>
    <row r="1191" spans="1:13" x14ac:dyDescent="0.35">
      <c r="A1191">
        <v>102105</v>
      </c>
      <c r="B1191">
        <v>1405</v>
      </c>
      <c r="C1191" t="s">
        <v>602</v>
      </c>
      <c r="D1191" t="s">
        <v>1066</v>
      </c>
      <c r="E1191" t="s">
        <v>2433</v>
      </c>
      <c r="F1191">
        <v>4166649</v>
      </c>
      <c r="G1191">
        <v>1233</v>
      </c>
      <c r="H1191" t="s">
        <v>964</v>
      </c>
      <c r="I1191">
        <v>167</v>
      </c>
      <c r="J1191">
        <v>171</v>
      </c>
      <c r="K1191" t="s">
        <v>2155</v>
      </c>
      <c r="L1191" t="s">
        <v>980</v>
      </c>
      <c r="M1191" t="s">
        <v>2434</v>
      </c>
    </row>
    <row r="1192" spans="1:13" x14ac:dyDescent="0.35">
      <c r="A1192">
        <v>101384</v>
      </c>
      <c r="B1192">
        <v>1009</v>
      </c>
      <c r="C1192" t="s">
        <v>597</v>
      </c>
      <c r="D1192" t="s">
        <v>962</v>
      </c>
      <c r="E1192" t="s">
        <v>2435</v>
      </c>
      <c r="F1192">
        <v>3490</v>
      </c>
      <c r="H1192" t="s">
        <v>964</v>
      </c>
      <c r="I1192">
        <v>166</v>
      </c>
      <c r="J1192">
        <v>167</v>
      </c>
      <c r="K1192" t="s">
        <v>979</v>
      </c>
      <c r="L1192" t="s">
        <v>980</v>
      </c>
      <c r="M1192" t="s">
        <v>2436</v>
      </c>
    </row>
    <row r="1193" spans="1:13" x14ac:dyDescent="0.35">
      <c r="A1193">
        <v>104302</v>
      </c>
      <c r="B1193">
        <v>1699</v>
      </c>
      <c r="C1193" t="s">
        <v>602</v>
      </c>
      <c r="D1193" t="s">
        <v>1066</v>
      </c>
      <c r="E1193" t="s">
        <v>2437</v>
      </c>
      <c r="F1193">
        <v>4168123</v>
      </c>
      <c r="G1193">
        <v>227772</v>
      </c>
      <c r="H1193" t="s">
        <v>964</v>
      </c>
      <c r="I1193">
        <v>166</v>
      </c>
      <c r="J1193">
        <v>170</v>
      </c>
      <c r="K1193" t="s">
        <v>2155</v>
      </c>
      <c r="L1193" t="s">
        <v>980</v>
      </c>
      <c r="M1193" t="s">
        <v>2438</v>
      </c>
    </row>
    <row r="1194" spans="1:13" x14ac:dyDescent="0.35">
      <c r="A1194">
        <v>0</v>
      </c>
      <c r="B1194">
        <v>2894</v>
      </c>
      <c r="C1194" t="s">
        <v>602</v>
      </c>
      <c r="D1194" t="s">
        <v>1301</v>
      </c>
      <c r="E1194" t="s">
        <v>2439</v>
      </c>
      <c r="F1194">
        <v>7120</v>
      </c>
      <c r="I1194">
        <v>166</v>
      </c>
      <c r="J1194">
        <v>165</v>
      </c>
      <c r="M1194" t="s">
        <v>2439</v>
      </c>
    </row>
    <row r="1195" spans="1:13" x14ac:dyDescent="0.35">
      <c r="A1195">
        <v>102092</v>
      </c>
      <c r="B1195">
        <v>1393</v>
      </c>
      <c r="C1195" t="s">
        <v>602</v>
      </c>
      <c r="D1195" t="s">
        <v>1066</v>
      </c>
      <c r="E1195" t="s">
        <v>2440</v>
      </c>
      <c r="F1195">
        <v>4168139</v>
      </c>
      <c r="G1195">
        <v>218196</v>
      </c>
      <c r="H1195" t="s">
        <v>964</v>
      </c>
      <c r="I1195">
        <v>165</v>
      </c>
      <c r="J1195">
        <v>169</v>
      </c>
      <c r="K1195" t="s">
        <v>1068</v>
      </c>
      <c r="L1195" t="s">
        <v>965</v>
      </c>
      <c r="M1195" t="s">
        <v>2441</v>
      </c>
    </row>
    <row r="1196" spans="1:13" x14ac:dyDescent="0.35">
      <c r="A1196">
        <v>0</v>
      </c>
      <c r="B1196">
        <v>2893</v>
      </c>
      <c r="C1196" t="s">
        <v>602</v>
      </c>
      <c r="D1196" t="s">
        <v>1301</v>
      </c>
      <c r="E1196" t="s">
        <v>2442</v>
      </c>
      <c r="F1196">
        <v>7119</v>
      </c>
      <c r="I1196">
        <v>165</v>
      </c>
      <c r="J1196">
        <v>164</v>
      </c>
      <c r="M1196" t="s">
        <v>2442</v>
      </c>
    </row>
    <row r="1197" spans="1:13" x14ac:dyDescent="0.35">
      <c r="A1197">
        <v>101574</v>
      </c>
      <c r="B1197">
        <v>1167</v>
      </c>
      <c r="C1197" t="s">
        <v>602</v>
      </c>
      <c r="D1197" t="s">
        <v>962</v>
      </c>
      <c r="E1197" t="s">
        <v>2443</v>
      </c>
      <c r="F1197">
        <v>4238</v>
      </c>
      <c r="G1197">
        <v>222370</v>
      </c>
      <c r="H1197" t="s">
        <v>964</v>
      </c>
      <c r="I1197">
        <v>165</v>
      </c>
      <c r="J1197">
        <v>166</v>
      </c>
      <c r="K1197" t="s">
        <v>979</v>
      </c>
      <c r="L1197" t="s">
        <v>980</v>
      </c>
      <c r="M1197" t="s">
        <v>2444</v>
      </c>
    </row>
    <row r="1198" spans="1:13" x14ac:dyDescent="0.35">
      <c r="A1198">
        <v>0</v>
      </c>
      <c r="B1198">
        <v>2892</v>
      </c>
      <c r="C1198" t="s">
        <v>602</v>
      </c>
      <c r="D1198" t="s">
        <v>1301</v>
      </c>
      <c r="E1198" t="s">
        <v>2445</v>
      </c>
      <c r="F1198">
        <v>7118</v>
      </c>
      <c r="I1198">
        <v>164</v>
      </c>
      <c r="J1198">
        <v>163</v>
      </c>
      <c r="M1198" t="s">
        <v>2445</v>
      </c>
    </row>
    <row r="1199" spans="1:13" x14ac:dyDescent="0.35">
      <c r="A1199">
        <v>101577</v>
      </c>
      <c r="B1199">
        <v>1170</v>
      </c>
      <c r="C1199" t="s">
        <v>602</v>
      </c>
      <c r="D1199" t="s">
        <v>962</v>
      </c>
      <c r="E1199" t="s">
        <v>2446</v>
      </c>
      <c r="F1199">
        <v>4062</v>
      </c>
      <c r="G1199">
        <v>222409</v>
      </c>
      <c r="H1199" t="s">
        <v>964</v>
      </c>
      <c r="I1199">
        <v>164</v>
      </c>
      <c r="J1199">
        <v>165</v>
      </c>
      <c r="K1199" t="s">
        <v>979</v>
      </c>
      <c r="L1199" t="s">
        <v>980</v>
      </c>
      <c r="M1199" t="s">
        <v>2447</v>
      </c>
    </row>
    <row r="1200" spans="1:13" x14ac:dyDescent="0.35">
      <c r="A1200">
        <v>103491</v>
      </c>
      <c r="B1200">
        <v>1613</v>
      </c>
      <c r="C1200" t="s">
        <v>602</v>
      </c>
      <c r="D1200" t="s">
        <v>1066</v>
      </c>
      <c r="E1200" t="s">
        <v>2448</v>
      </c>
      <c r="F1200">
        <v>4167124</v>
      </c>
      <c r="G1200">
        <v>220743</v>
      </c>
      <c r="H1200" t="s">
        <v>964</v>
      </c>
      <c r="I1200">
        <v>164</v>
      </c>
      <c r="J1200">
        <v>168</v>
      </c>
      <c r="K1200" t="s">
        <v>2155</v>
      </c>
      <c r="L1200" t="s">
        <v>965</v>
      </c>
      <c r="M1200" t="s">
        <v>2449</v>
      </c>
    </row>
    <row r="1201" spans="1:13" x14ac:dyDescent="0.35">
      <c r="A1201">
        <v>103663</v>
      </c>
      <c r="B1201">
        <v>1634</v>
      </c>
      <c r="C1201" t="s">
        <v>597</v>
      </c>
      <c r="D1201" t="s">
        <v>1066</v>
      </c>
      <c r="E1201" t="s">
        <v>2450</v>
      </c>
      <c r="F1201">
        <v>4167132</v>
      </c>
      <c r="G1201">
        <v>223093</v>
      </c>
      <c r="I1201">
        <v>163</v>
      </c>
      <c r="J1201">
        <v>167</v>
      </c>
      <c r="M1201" t="s">
        <v>2451</v>
      </c>
    </row>
    <row r="1202" spans="1:13" x14ac:dyDescent="0.35">
      <c r="A1202">
        <v>0</v>
      </c>
      <c r="B1202">
        <v>2891</v>
      </c>
      <c r="C1202" t="s">
        <v>602</v>
      </c>
      <c r="D1202" t="s">
        <v>1301</v>
      </c>
      <c r="E1202" t="s">
        <v>2452</v>
      </c>
      <c r="F1202">
        <v>7117</v>
      </c>
      <c r="I1202">
        <v>163</v>
      </c>
      <c r="J1202">
        <v>162</v>
      </c>
      <c r="M1202" t="s">
        <v>2452</v>
      </c>
    </row>
    <row r="1203" spans="1:13" x14ac:dyDescent="0.35">
      <c r="A1203">
        <v>101476</v>
      </c>
      <c r="B1203">
        <v>1077</v>
      </c>
      <c r="C1203" t="s">
        <v>602</v>
      </c>
      <c r="D1203" t="s">
        <v>962</v>
      </c>
      <c r="E1203" t="s">
        <v>2453</v>
      </c>
      <c r="F1203">
        <v>3578</v>
      </c>
      <c r="G1203">
        <v>221329</v>
      </c>
      <c r="H1203" t="s">
        <v>964</v>
      </c>
      <c r="I1203">
        <v>163</v>
      </c>
      <c r="J1203">
        <v>164</v>
      </c>
      <c r="K1203" t="s">
        <v>979</v>
      </c>
      <c r="L1203" t="s">
        <v>965</v>
      </c>
      <c r="M1203" t="s">
        <v>2454</v>
      </c>
    </row>
    <row r="1204" spans="1:13" x14ac:dyDescent="0.35">
      <c r="A1204">
        <v>0</v>
      </c>
      <c r="B1204">
        <v>2890</v>
      </c>
      <c r="C1204" t="s">
        <v>602</v>
      </c>
      <c r="D1204" t="s">
        <v>1301</v>
      </c>
      <c r="E1204" t="s">
        <v>2455</v>
      </c>
      <c r="F1204">
        <v>7116</v>
      </c>
      <c r="I1204">
        <v>162</v>
      </c>
      <c r="J1204">
        <v>161</v>
      </c>
      <c r="M1204" t="s">
        <v>2455</v>
      </c>
    </row>
    <row r="1205" spans="1:13" x14ac:dyDescent="0.35">
      <c r="A1205">
        <v>101472</v>
      </c>
      <c r="B1205">
        <v>1073</v>
      </c>
      <c r="C1205" t="s">
        <v>602</v>
      </c>
      <c r="D1205" t="s">
        <v>962</v>
      </c>
      <c r="E1205" t="s">
        <v>2456</v>
      </c>
      <c r="F1205">
        <v>3547</v>
      </c>
      <c r="G1205">
        <v>221163</v>
      </c>
      <c r="H1205" t="s">
        <v>964</v>
      </c>
      <c r="I1205">
        <v>162</v>
      </c>
      <c r="J1205">
        <v>163</v>
      </c>
      <c r="K1205" t="s">
        <v>1051</v>
      </c>
      <c r="L1205" t="s">
        <v>965</v>
      </c>
      <c r="M1205" t="s">
        <v>2457</v>
      </c>
    </row>
    <row r="1206" spans="1:13" x14ac:dyDescent="0.35">
      <c r="A1206">
        <v>103434</v>
      </c>
      <c r="B1206">
        <v>1577</v>
      </c>
      <c r="C1206" t="s">
        <v>602</v>
      </c>
      <c r="D1206" t="s">
        <v>1066</v>
      </c>
      <c r="E1206" t="s">
        <v>2458</v>
      </c>
      <c r="F1206">
        <v>4168063</v>
      </c>
      <c r="G1206">
        <v>222729</v>
      </c>
      <c r="H1206" t="s">
        <v>964</v>
      </c>
      <c r="I1206">
        <v>162</v>
      </c>
      <c r="J1206">
        <v>166</v>
      </c>
      <c r="K1206" t="s">
        <v>2155</v>
      </c>
      <c r="L1206" t="s">
        <v>965</v>
      </c>
      <c r="M1206" t="s">
        <v>2459</v>
      </c>
    </row>
    <row r="1207" spans="1:13" x14ac:dyDescent="0.35">
      <c r="A1207">
        <v>103432</v>
      </c>
      <c r="B1207">
        <v>1575</v>
      </c>
      <c r="C1207" t="s">
        <v>602</v>
      </c>
      <c r="D1207" t="s">
        <v>1066</v>
      </c>
      <c r="E1207" t="s">
        <v>2460</v>
      </c>
      <c r="F1207">
        <v>4168143</v>
      </c>
      <c r="G1207">
        <v>220862</v>
      </c>
      <c r="H1207" t="s">
        <v>964</v>
      </c>
      <c r="I1207">
        <v>161</v>
      </c>
      <c r="J1207">
        <v>165</v>
      </c>
      <c r="K1207" t="s">
        <v>2155</v>
      </c>
      <c r="L1207" t="s">
        <v>965</v>
      </c>
      <c r="M1207" t="s">
        <v>2461</v>
      </c>
    </row>
    <row r="1208" spans="1:13" x14ac:dyDescent="0.35">
      <c r="A1208">
        <v>0</v>
      </c>
      <c r="B1208">
        <v>2889</v>
      </c>
      <c r="C1208" t="s">
        <v>602</v>
      </c>
      <c r="D1208" t="s">
        <v>1301</v>
      </c>
      <c r="E1208" t="s">
        <v>2462</v>
      </c>
      <c r="F1208">
        <v>7115</v>
      </c>
      <c r="I1208">
        <v>161</v>
      </c>
      <c r="J1208">
        <v>160</v>
      </c>
      <c r="M1208" t="s">
        <v>2462</v>
      </c>
    </row>
    <row r="1209" spans="1:13" x14ac:dyDescent="0.35">
      <c r="A1209">
        <v>101592</v>
      </c>
      <c r="B1209">
        <v>1185</v>
      </c>
      <c r="C1209" t="s">
        <v>602</v>
      </c>
      <c r="D1209" t="s">
        <v>962</v>
      </c>
      <c r="E1209" t="s">
        <v>2463</v>
      </c>
      <c r="F1209">
        <v>4031</v>
      </c>
      <c r="G1209">
        <v>222733</v>
      </c>
      <c r="H1209" t="s">
        <v>964</v>
      </c>
      <c r="I1209">
        <v>161</v>
      </c>
      <c r="J1209">
        <v>162</v>
      </c>
      <c r="K1209" t="s">
        <v>979</v>
      </c>
      <c r="L1209" t="s">
        <v>965</v>
      </c>
      <c r="M1209" t="s">
        <v>2464</v>
      </c>
    </row>
    <row r="1210" spans="1:13" x14ac:dyDescent="0.35">
      <c r="A1210">
        <v>0</v>
      </c>
      <c r="B1210">
        <v>2888</v>
      </c>
      <c r="C1210" t="s">
        <v>602</v>
      </c>
      <c r="D1210" t="s">
        <v>1301</v>
      </c>
      <c r="E1210" t="s">
        <v>2465</v>
      </c>
      <c r="F1210">
        <v>7114</v>
      </c>
      <c r="I1210">
        <v>160</v>
      </c>
      <c r="J1210">
        <v>159</v>
      </c>
      <c r="M1210" t="s">
        <v>2465</v>
      </c>
    </row>
    <row r="1211" spans="1:13" x14ac:dyDescent="0.35">
      <c r="A1211">
        <v>103871</v>
      </c>
      <c r="B1211">
        <v>1219</v>
      </c>
      <c r="C1211" t="s">
        <v>602</v>
      </c>
      <c r="D1211" t="s">
        <v>962</v>
      </c>
      <c r="E1211" t="s">
        <v>2466</v>
      </c>
      <c r="F1211">
        <v>5159</v>
      </c>
      <c r="G1211">
        <v>225292</v>
      </c>
      <c r="H1211" t="s">
        <v>964</v>
      </c>
      <c r="I1211">
        <v>160</v>
      </c>
      <c r="J1211">
        <v>161</v>
      </c>
      <c r="K1211" t="s">
        <v>983</v>
      </c>
      <c r="L1211" t="s">
        <v>965</v>
      </c>
      <c r="M1211" t="s">
        <v>2467</v>
      </c>
    </row>
    <row r="1212" spans="1:13" x14ac:dyDescent="0.35">
      <c r="A1212">
        <v>103528</v>
      </c>
      <c r="B1212">
        <v>1621</v>
      </c>
      <c r="C1212" t="s">
        <v>602</v>
      </c>
      <c r="D1212" t="s">
        <v>1066</v>
      </c>
      <c r="E1212" t="s">
        <v>2468</v>
      </c>
      <c r="F1212">
        <v>4168137</v>
      </c>
      <c r="G1212">
        <v>222883</v>
      </c>
      <c r="H1212" t="s">
        <v>964</v>
      </c>
      <c r="I1212">
        <v>160</v>
      </c>
      <c r="J1212">
        <v>164</v>
      </c>
      <c r="K1212" t="s">
        <v>2155</v>
      </c>
      <c r="L1212" t="s">
        <v>965</v>
      </c>
      <c r="M1212" t="s">
        <v>2469</v>
      </c>
    </row>
    <row r="1213" spans="1:13" x14ac:dyDescent="0.35">
      <c r="A1213">
        <v>0</v>
      </c>
      <c r="B1213">
        <v>3462</v>
      </c>
      <c r="C1213" t="s">
        <v>602</v>
      </c>
      <c r="D1213" t="s">
        <v>2470</v>
      </c>
      <c r="E1213" t="s">
        <v>2471</v>
      </c>
      <c r="G1213">
        <v>0</v>
      </c>
      <c r="H1213" t="s">
        <v>964</v>
      </c>
      <c r="I1213">
        <v>159</v>
      </c>
      <c r="J1213">
        <v>162</v>
      </c>
      <c r="L1213" t="s">
        <v>965</v>
      </c>
      <c r="M1213" t="s">
        <v>2472</v>
      </c>
    </row>
    <row r="1214" spans="1:13" x14ac:dyDescent="0.35">
      <c r="A1214">
        <v>0</v>
      </c>
      <c r="B1214">
        <v>2887</v>
      </c>
      <c r="C1214" t="s">
        <v>602</v>
      </c>
      <c r="D1214" t="s">
        <v>1301</v>
      </c>
      <c r="E1214" t="s">
        <v>2473</v>
      </c>
      <c r="F1214">
        <v>7113</v>
      </c>
      <c r="I1214">
        <v>159</v>
      </c>
      <c r="J1214">
        <v>158</v>
      </c>
      <c r="M1214" t="s">
        <v>2473</v>
      </c>
    </row>
    <row r="1215" spans="1:13" x14ac:dyDescent="0.35">
      <c r="A1215">
        <v>103878</v>
      </c>
      <c r="B1215">
        <v>1665</v>
      </c>
      <c r="C1215" t="s">
        <v>602</v>
      </c>
      <c r="D1215" t="s">
        <v>1066</v>
      </c>
      <c r="E1215" t="s">
        <v>2474</v>
      </c>
      <c r="F1215">
        <v>4166531</v>
      </c>
      <c r="G1215">
        <v>876</v>
      </c>
      <c r="H1215" t="s">
        <v>964</v>
      </c>
      <c r="I1215">
        <v>159</v>
      </c>
      <c r="J1215">
        <v>163</v>
      </c>
      <c r="K1215" t="s">
        <v>1068</v>
      </c>
      <c r="L1215" t="s">
        <v>965</v>
      </c>
      <c r="M1215" t="s">
        <v>2475</v>
      </c>
    </row>
    <row r="1216" spans="1:13" x14ac:dyDescent="0.35">
      <c r="A1216">
        <v>103722</v>
      </c>
      <c r="B1216">
        <v>1212</v>
      </c>
      <c r="C1216" t="s">
        <v>602</v>
      </c>
      <c r="D1216" t="s">
        <v>962</v>
      </c>
      <c r="E1216" t="s">
        <v>2476</v>
      </c>
      <c r="F1216">
        <v>4849</v>
      </c>
      <c r="G1216">
        <v>223234</v>
      </c>
      <c r="H1216" t="s">
        <v>964</v>
      </c>
      <c r="I1216">
        <v>159</v>
      </c>
      <c r="J1216">
        <v>160</v>
      </c>
      <c r="K1216" t="s">
        <v>979</v>
      </c>
      <c r="L1216" t="s">
        <v>965</v>
      </c>
      <c r="M1216" t="s">
        <v>2477</v>
      </c>
    </row>
    <row r="1217" spans="1:13" x14ac:dyDescent="0.35">
      <c r="A1217">
        <v>101020</v>
      </c>
      <c r="B1217">
        <v>1362</v>
      </c>
      <c r="C1217" t="s">
        <v>602</v>
      </c>
      <c r="D1217" t="s">
        <v>1066</v>
      </c>
      <c r="E1217" t="s">
        <v>2478</v>
      </c>
      <c r="F1217">
        <v>4166674</v>
      </c>
      <c r="G1217">
        <v>222607</v>
      </c>
      <c r="H1217" t="s">
        <v>964</v>
      </c>
      <c r="I1217">
        <v>158</v>
      </c>
      <c r="J1217">
        <v>162</v>
      </c>
      <c r="K1217" t="s">
        <v>1068</v>
      </c>
      <c r="L1217" t="s">
        <v>965</v>
      </c>
      <c r="M1217" t="s">
        <v>2479</v>
      </c>
    </row>
    <row r="1218" spans="1:13" x14ac:dyDescent="0.35">
      <c r="A1218">
        <v>103977</v>
      </c>
      <c r="B1218">
        <v>1232</v>
      </c>
      <c r="C1218" t="s">
        <v>602</v>
      </c>
      <c r="D1218" t="s">
        <v>962</v>
      </c>
      <c r="E1218" t="s">
        <v>2480</v>
      </c>
      <c r="F1218">
        <v>5561</v>
      </c>
      <c r="G1218">
        <v>225463</v>
      </c>
      <c r="H1218" t="s">
        <v>964</v>
      </c>
      <c r="I1218">
        <v>158</v>
      </c>
      <c r="J1218">
        <v>159</v>
      </c>
      <c r="K1218" t="s">
        <v>983</v>
      </c>
      <c r="L1218" t="s">
        <v>965</v>
      </c>
      <c r="M1218" t="s">
        <v>2481</v>
      </c>
    </row>
    <row r="1219" spans="1:13" x14ac:dyDescent="0.35">
      <c r="A1219">
        <v>0</v>
      </c>
      <c r="B1219">
        <v>2886</v>
      </c>
      <c r="C1219" t="s">
        <v>602</v>
      </c>
      <c r="D1219" t="s">
        <v>1301</v>
      </c>
      <c r="E1219" t="s">
        <v>2482</v>
      </c>
      <c r="F1219">
        <v>7112</v>
      </c>
      <c r="I1219">
        <v>158</v>
      </c>
      <c r="J1219">
        <v>157</v>
      </c>
      <c r="M1219" t="s">
        <v>2482</v>
      </c>
    </row>
    <row r="1220" spans="1:13" x14ac:dyDescent="0.35">
      <c r="A1220">
        <v>101545</v>
      </c>
      <c r="B1220">
        <v>1138</v>
      </c>
      <c r="C1220" t="s">
        <v>602</v>
      </c>
      <c r="D1220" t="s">
        <v>962</v>
      </c>
      <c r="E1220" t="s">
        <v>2483</v>
      </c>
      <c r="F1220">
        <v>3999</v>
      </c>
      <c r="G1220">
        <v>221955</v>
      </c>
      <c r="H1220" t="s">
        <v>964</v>
      </c>
      <c r="I1220">
        <v>157</v>
      </c>
      <c r="J1220">
        <v>158</v>
      </c>
      <c r="K1220" t="s">
        <v>979</v>
      </c>
      <c r="L1220" t="s">
        <v>965</v>
      </c>
      <c r="M1220" t="s">
        <v>2484</v>
      </c>
    </row>
    <row r="1221" spans="1:13" x14ac:dyDescent="0.35">
      <c r="A1221">
        <v>103407</v>
      </c>
      <c r="B1221">
        <v>1554</v>
      </c>
      <c r="C1221" t="s">
        <v>602</v>
      </c>
      <c r="D1221" t="s">
        <v>1066</v>
      </c>
      <c r="E1221" t="s">
        <v>2485</v>
      </c>
      <c r="F1221">
        <v>4166626</v>
      </c>
      <c r="G1221">
        <v>218982</v>
      </c>
      <c r="H1221" t="s">
        <v>964</v>
      </c>
      <c r="I1221">
        <v>157</v>
      </c>
      <c r="J1221">
        <v>161</v>
      </c>
      <c r="K1221" t="s">
        <v>1068</v>
      </c>
      <c r="L1221" t="s">
        <v>965</v>
      </c>
      <c r="M1221" t="s">
        <v>2486</v>
      </c>
    </row>
    <row r="1222" spans="1:13" x14ac:dyDescent="0.35">
      <c r="A1222">
        <v>0</v>
      </c>
      <c r="B1222">
        <v>2885</v>
      </c>
      <c r="C1222" t="s">
        <v>602</v>
      </c>
      <c r="D1222" t="s">
        <v>1301</v>
      </c>
      <c r="E1222" t="s">
        <v>2487</v>
      </c>
      <c r="F1222">
        <v>7111</v>
      </c>
      <c r="I1222">
        <v>157</v>
      </c>
      <c r="J1222">
        <v>156</v>
      </c>
      <c r="M1222" t="s">
        <v>2487</v>
      </c>
    </row>
    <row r="1223" spans="1:13" x14ac:dyDescent="0.35">
      <c r="A1223">
        <v>0</v>
      </c>
      <c r="B1223">
        <v>2884</v>
      </c>
      <c r="C1223" t="s">
        <v>602</v>
      </c>
      <c r="D1223" t="s">
        <v>1301</v>
      </c>
      <c r="E1223" t="s">
        <v>2488</v>
      </c>
      <c r="F1223">
        <v>7110</v>
      </c>
      <c r="I1223">
        <v>156</v>
      </c>
      <c r="J1223">
        <v>155</v>
      </c>
      <c r="M1223" t="s">
        <v>2488</v>
      </c>
    </row>
    <row r="1224" spans="1:13" x14ac:dyDescent="0.35">
      <c r="A1224">
        <v>104200</v>
      </c>
      <c r="B1224">
        <v>1256</v>
      </c>
      <c r="C1224" t="s">
        <v>602</v>
      </c>
      <c r="D1224" t="s">
        <v>962</v>
      </c>
      <c r="E1224" t="s">
        <v>2489</v>
      </c>
      <c r="F1224">
        <v>5245</v>
      </c>
      <c r="G1224">
        <v>222972</v>
      </c>
      <c r="H1224" t="s">
        <v>964</v>
      </c>
      <c r="I1224">
        <v>156</v>
      </c>
      <c r="J1224">
        <v>157</v>
      </c>
      <c r="K1224" t="s">
        <v>979</v>
      </c>
      <c r="L1224" t="s">
        <v>965</v>
      </c>
      <c r="M1224" t="s">
        <v>2490</v>
      </c>
    </row>
    <row r="1225" spans="1:13" x14ac:dyDescent="0.35">
      <c r="A1225">
        <v>103850</v>
      </c>
      <c r="B1225">
        <v>1652</v>
      </c>
      <c r="C1225" t="s">
        <v>602</v>
      </c>
      <c r="D1225" t="s">
        <v>1066</v>
      </c>
      <c r="E1225" t="s">
        <v>2491</v>
      </c>
      <c r="F1225">
        <v>4166519</v>
      </c>
      <c r="G1225">
        <v>954</v>
      </c>
      <c r="H1225" t="s">
        <v>964</v>
      </c>
      <c r="I1225">
        <v>156</v>
      </c>
      <c r="J1225">
        <v>160</v>
      </c>
      <c r="K1225" t="s">
        <v>1068</v>
      </c>
      <c r="L1225" t="s">
        <v>980</v>
      </c>
      <c r="M1225" t="s">
        <v>2492</v>
      </c>
    </row>
    <row r="1226" spans="1:13" x14ac:dyDescent="0.35">
      <c r="A1226">
        <v>101054</v>
      </c>
      <c r="B1226">
        <v>1843</v>
      </c>
      <c r="C1226" t="s">
        <v>602</v>
      </c>
      <c r="D1226" t="s">
        <v>1968</v>
      </c>
      <c r="E1226" t="s">
        <v>58</v>
      </c>
      <c r="G1226">
        <v>218602</v>
      </c>
      <c r="H1226" t="s">
        <v>964</v>
      </c>
      <c r="I1226">
        <v>155</v>
      </c>
      <c r="J1226">
        <v>158</v>
      </c>
      <c r="L1226" t="s">
        <v>965</v>
      </c>
      <c r="M1226" t="s">
        <v>2493</v>
      </c>
    </row>
    <row r="1227" spans="1:13" x14ac:dyDescent="0.35">
      <c r="A1227">
        <v>101382</v>
      </c>
      <c r="B1227">
        <v>1007</v>
      </c>
      <c r="C1227" t="s">
        <v>602</v>
      </c>
      <c r="D1227" t="s">
        <v>962</v>
      </c>
      <c r="E1227" t="s">
        <v>2494</v>
      </c>
      <c r="F1227">
        <v>3421</v>
      </c>
      <c r="G1227">
        <v>219768</v>
      </c>
      <c r="H1227" t="s">
        <v>964</v>
      </c>
      <c r="I1227">
        <v>155</v>
      </c>
      <c r="J1227">
        <v>156</v>
      </c>
      <c r="K1227" t="s">
        <v>1051</v>
      </c>
      <c r="L1227" t="s">
        <v>965</v>
      </c>
      <c r="M1227" t="s">
        <v>2495</v>
      </c>
    </row>
    <row r="1228" spans="1:13" x14ac:dyDescent="0.35">
      <c r="A1228">
        <v>0</v>
      </c>
      <c r="B1228">
        <v>2883</v>
      </c>
      <c r="C1228" t="s">
        <v>602</v>
      </c>
      <c r="D1228" t="s">
        <v>1301</v>
      </c>
      <c r="E1228" t="s">
        <v>2496</v>
      </c>
      <c r="F1228">
        <v>7109</v>
      </c>
      <c r="I1228">
        <v>155</v>
      </c>
      <c r="J1228">
        <v>154</v>
      </c>
      <c r="M1228" t="s">
        <v>2496</v>
      </c>
    </row>
    <row r="1229" spans="1:13" x14ac:dyDescent="0.35">
      <c r="A1229">
        <v>103439</v>
      </c>
      <c r="B1229">
        <v>1582</v>
      </c>
      <c r="C1229" t="s">
        <v>602</v>
      </c>
      <c r="D1229" t="s">
        <v>1066</v>
      </c>
      <c r="E1229" t="s">
        <v>2497</v>
      </c>
      <c r="F1229">
        <v>4166606</v>
      </c>
      <c r="G1229">
        <v>222737</v>
      </c>
      <c r="H1229" t="s">
        <v>964</v>
      </c>
      <c r="I1229">
        <v>155</v>
      </c>
      <c r="J1229">
        <v>159</v>
      </c>
      <c r="K1229" t="s">
        <v>1068</v>
      </c>
      <c r="L1229" t="s">
        <v>965</v>
      </c>
      <c r="M1229" t="s">
        <v>2498</v>
      </c>
    </row>
    <row r="1230" spans="1:13" x14ac:dyDescent="0.35">
      <c r="A1230">
        <v>102125</v>
      </c>
      <c r="B1230">
        <v>1416</v>
      </c>
      <c r="C1230" t="s">
        <v>602</v>
      </c>
      <c r="D1230" t="s">
        <v>1066</v>
      </c>
      <c r="E1230" t="s">
        <v>2499</v>
      </c>
      <c r="F1230">
        <v>4166656</v>
      </c>
      <c r="G1230">
        <v>220861</v>
      </c>
      <c r="H1230" t="s">
        <v>964</v>
      </c>
      <c r="I1230">
        <v>154</v>
      </c>
      <c r="J1230">
        <v>158</v>
      </c>
      <c r="K1230" t="s">
        <v>1068</v>
      </c>
      <c r="L1230" t="s">
        <v>980</v>
      </c>
      <c r="M1230" t="s">
        <v>2500</v>
      </c>
    </row>
    <row r="1231" spans="1:13" x14ac:dyDescent="0.35">
      <c r="A1231">
        <v>104139</v>
      </c>
      <c r="B1231">
        <v>1241</v>
      </c>
      <c r="C1231" t="s">
        <v>602</v>
      </c>
      <c r="D1231" t="s">
        <v>962</v>
      </c>
      <c r="E1231" t="s">
        <v>2501</v>
      </c>
      <c r="F1231">
        <v>4823</v>
      </c>
      <c r="G1231">
        <v>226476</v>
      </c>
      <c r="H1231" t="s">
        <v>964</v>
      </c>
      <c r="I1231">
        <v>154</v>
      </c>
      <c r="J1231">
        <v>155</v>
      </c>
      <c r="K1231" t="s">
        <v>979</v>
      </c>
      <c r="L1231" t="s">
        <v>965</v>
      </c>
      <c r="M1231" t="s">
        <v>2502</v>
      </c>
    </row>
    <row r="1232" spans="1:13" x14ac:dyDescent="0.35">
      <c r="A1232">
        <v>0</v>
      </c>
      <c r="B1232">
        <v>2882</v>
      </c>
      <c r="C1232" t="s">
        <v>602</v>
      </c>
      <c r="D1232" t="s">
        <v>1301</v>
      </c>
      <c r="E1232" t="s">
        <v>2503</v>
      </c>
      <c r="F1232">
        <v>7108</v>
      </c>
      <c r="I1232">
        <v>154</v>
      </c>
      <c r="J1232">
        <v>153</v>
      </c>
      <c r="M1232" t="s">
        <v>2503</v>
      </c>
    </row>
    <row r="1233" spans="1:13" x14ac:dyDescent="0.35">
      <c r="A1233">
        <v>103798</v>
      </c>
      <c r="B1233">
        <v>1721</v>
      </c>
      <c r="C1233" t="s">
        <v>602</v>
      </c>
      <c r="D1233" t="s">
        <v>2504</v>
      </c>
      <c r="E1233" t="s">
        <v>2505</v>
      </c>
      <c r="F1233">
        <v>4797323</v>
      </c>
      <c r="G1233">
        <v>225213</v>
      </c>
      <c r="H1233" t="s">
        <v>964</v>
      </c>
      <c r="I1233">
        <v>154</v>
      </c>
      <c r="J1233">
        <v>157</v>
      </c>
      <c r="L1233" t="s">
        <v>1581</v>
      </c>
      <c r="M1233" t="s">
        <v>2506</v>
      </c>
    </row>
    <row r="1234" spans="1:13" x14ac:dyDescent="0.35">
      <c r="A1234">
        <v>102099</v>
      </c>
      <c r="B1234">
        <v>1399</v>
      </c>
      <c r="C1234" t="s">
        <v>602</v>
      </c>
      <c r="D1234" t="s">
        <v>1066</v>
      </c>
      <c r="E1234" t="s">
        <v>2507</v>
      </c>
      <c r="F1234">
        <v>4166662</v>
      </c>
      <c r="G1234">
        <v>220728</v>
      </c>
      <c r="H1234" t="s">
        <v>964</v>
      </c>
      <c r="I1234">
        <v>153</v>
      </c>
      <c r="J1234">
        <v>157</v>
      </c>
      <c r="K1234" t="s">
        <v>1068</v>
      </c>
      <c r="L1234" t="s">
        <v>980</v>
      </c>
      <c r="M1234" t="s">
        <v>2508</v>
      </c>
    </row>
    <row r="1235" spans="1:13" x14ac:dyDescent="0.35">
      <c r="A1235">
        <v>103884</v>
      </c>
      <c r="B1235">
        <v>1227</v>
      </c>
      <c r="C1235" t="s">
        <v>602</v>
      </c>
      <c r="D1235" t="s">
        <v>962</v>
      </c>
      <c r="E1235" t="s">
        <v>2509</v>
      </c>
      <c r="F1235">
        <v>5566</v>
      </c>
      <c r="G1235">
        <v>225311</v>
      </c>
      <c r="H1235" t="s">
        <v>964</v>
      </c>
      <c r="I1235">
        <v>153</v>
      </c>
      <c r="J1235">
        <v>154</v>
      </c>
      <c r="K1235" t="s">
        <v>979</v>
      </c>
      <c r="L1235" t="s">
        <v>965</v>
      </c>
      <c r="M1235" t="s">
        <v>2510</v>
      </c>
    </row>
    <row r="1236" spans="1:13" x14ac:dyDescent="0.35">
      <c r="A1236">
        <v>0</v>
      </c>
      <c r="B1236">
        <v>3454</v>
      </c>
      <c r="C1236" t="s">
        <v>602</v>
      </c>
      <c r="D1236" t="s">
        <v>1243</v>
      </c>
      <c r="E1236" t="s">
        <v>2511</v>
      </c>
      <c r="F1236">
        <v>51</v>
      </c>
      <c r="G1236">
        <v>228716</v>
      </c>
      <c r="H1236" t="s">
        <v>964</v>
      </c>
      <c r="I1236">
        <v>153</v>
      </c>
      <c r="J1236">
        <v>156</v>
      </c>
      <c r="K1236" t="s">
        <v>1761</v>
      </c>
    </row>
    <row r="1237" spans="1:13" x14ac:dyDescent="0.35">
      <c r="A1237">
        <v>0</v>
      </c>
      <c r="B1237">
        <v>2881</v>
      </c>
      <c r="C1237" t="s">
        <v>602</v>
      </c>
      <c r="D1237" t="s">
        <v>1301</v>
      </c>
      <c r="E1237" t="s">
        <v>2512</v>
      </c>
      <c r="F1237">
        <v>7107</v>
      </c>
      <c r="I1237">
        <v>153</v>
      </c>
      <c r="J1237">
        <v>152</v>
      </c>
      <c r="M1237" t="s">
        <v>2512</v>
      </c>
    </row>
    <row r="1238" spans="1:13" x14ac:dyDescent="0.35">
      <c r="A1238">
        <v>103253</v>
      </c>
      <c r="B1238">
        <v>1460</v>
      </c>
      <c r="C1238" t="s">
        <v>602</v>
      </c>
      <c r="D1238" t="s">
        <v>1066</v>
      </c>
      <c r="E1238" t="s">
        <v>2513</v>
      </c>
      <c r="F1238">
        <v>4166588</v>
      </c>
      <c r="G1238">
        <v>222357</v>
      </c>
      <c r="H1238" t="s">
        <v>964</v>
      </c>
      <c r="I1238">
        <v>152</v>
      </c>
      <c r="J1238">
        <v>156</v>
      </c>
      <c r="K1238" t="s">
        <v>1068</v>
      </c>
      <c r="L1238" t="s">
        <v>965</v>
      </c>
      <c r="M1238" t="s">
        <v>2514</v>
      </c>
    </row>
    <row r="1239" spans="1:13" x14ac:dyDescent="0.35">
      <c r="A1239">
        <v>0</v>
      </c>
      <c r="B1239">
        <v>2880</v>
      </c>
      <c r="C1239" t="s">
        <v>602</v>
      </c>
      <c r="D1239" t="s">
        <v>1301</v>
      </c>
      <c r="E1239" t="s">
        <v>2515</v>
      </c>
      <c r="F1239">
        <v>7106</v>
      </c>
      <c r="I1239">
        <v>152</v>
      </c>
      <c r="J1239">
        <v>151</v>
      </c>
      <c r="M1239" t="s">
        <v>2515</v>
      </c>
    </row>
    <row r="1240" spans="1:13" x14ac:dyDescent="0.35">
      <c r="A1240">
        <v>101450</v>
      </c>
      <c r="B1240">
        <v>1056</v>
      </c>
      <c r="C1240" t="s">
        <v>602</v>
      </c>
      <c r="D1240" t="s">
        <v>962</v>
      </c>
      <c r="E1240" t="s">
        <v>2516</v>
      </c>
      <c r="F1240">
        <v>3500</v>
      </c>
      <c r="G1240">
        <v>220748</v>
      </c>
      <c r="H1240" t="s">
        <v>964</v>
      </c>
      <c r="I1240">
        <v>152</v>
      </c>
      <c r="J1240">
        <v>153</v>
      </c>
      <c r="K1240" t="s">
        <v>1051</v>
      </c>
      <c r="L1240" t="s">
        <v>980</v>
      </c>
      <c r="M1240" t="s">
        <v>2517</v>
      </c>
    </row>
    <row r="1241" spans="1:13" x14ac:dyDescent="0.35">
      <c r="A1241">
        <v>0</v>
      </c>
      <c r="B1241">
        <v>2879</v>
      </c>
      <c r="C1241" t="s">
        <v>602</v>
      </c>
      <c r="D1241" t="s">
        <v>1301</v>
      </c>
      <c r="E1241" t="s">
        <v>2518</v>
      </c>
      <c r="F1241">
        <v>7105</v>
      </c>
      <c r="I1241">
        <v>151</v>
      </c>
      <c r="J1241">
        <v>150</v>
      </c>
      <c r="M1241" t="s">
        <v>2518</v>
      </c>
    </row>
    <row r="1242" spans="1:13" x14ac:dyDescent="0.35">
      <c r="A1242">
        <v>101520</v>
      </c>
      <c r="B1242">
        <v>1115</v>
      </c>
      <c r="C1242" t="s">
        <v>602</v>
      </c>
      <c r="D1242" t="s">
        <v>962</v>
      </c>
      <c r="E1242" t="s">
        <v>2519</v>
      </c>
      <c r="F1242">
        <v>3726</v>
      </c>
      <c r="G1242">
        <v>221723</v>
      </c>
      <c r="H1242" t="s">
        <v>964</v>
      </c>
      <c r="I1242">
        <v>151</v>
      </c>
      <c r="J1242">
        <v>152</v>
      </c>
      <c r="K1242" t="s">
        <v>979</v>
      </c>
      <c r="L1242" t="s">
        <v>980</v>
      </c>
      <c r="M1242" t="s">
        <v>2520</v>
      </c>
    </row>
    <row r="1243" spans="1:13" x14ac:dyDescent="0.35">
      <c r="A1243">
        <v>102093</v>
      </c>
      <c r="B1243">
        <v>1394</v>
      </c>
      <c r="C1243" t="s">
        <v>597</v>
      </c>
      <c r="D1243" t="s">
        <v>1066</v>
      </c>
      <c r="E1243" t="s">
        <v>2521</v>
      </c>
      <c r="F1243">
        <v>4166657</v>
      </c>
      <c r="G1243">
        <v>220640</v>
      </c>
      <c r="I1243">
        <v>151</v>
      </c>
      <c r="J1243">
        <v>155</v>
      </c>
      <c r="M1243" t="s">
        <v>2522</v>
      </c>
    </row>
    <row r="1244" spans="1:13" x14ac:dyDescent="0.35">
      <c r="A1244">
        <v>0</v>
      </c>
      <c r="B1244">
        <v>3169</v>
      </c>
      <c r="C1244" t="s">
        <v>602</v>
      </c>
      <c r="D1244" t="s">
        <v>2003</v>
      </c>
      <c r="E1244" t="s">
        <v>2523</v>
      </c>
      <c r="H1244" t="s">
        <v>964</v>
      </c>
      <c r="I1244">
        <v>150</v>
      </c>
      <c r="J1244">
        <v>153</v>
      </c>
      <c r="K1244" t="s">
        <v>1283</v>
      </c>
      <c r="M1244" t="s">
        <v>2524</v>
      </c>
    </row>
    <row r="1245" spans="1:13" x14ac:dyDescent="0.35">
      <c r="A1245">
        <v>103339</v>
      </c>
      <c r="B1245">
        <v>1509</v>
      </c>
      <c r="C1245" t="s">
        <v>602</v>
      </c>
      <c r="D1245" t="s">
        <v>1066</v>
      </c>
      <c r="E1245" t="s">
        <v>2525</v>
      </c>
      <c r="F1245">
        <v>4166611</v>
      </c>
      <c r="G1245">
        <v>220807</v>
      </c>
      <c r="H1245" t="s">
        <v>964</v>
      </c>
      <c r="I1245">
        <v>150</v>
      </c>
      <c r="J1245">
        <v>154</v>
      </c>
      <c r="K1245" t="s">
        <v>1068</v>
      </c>
      <c r="L1245" t="s">
        <v>965</v>
      </c>
      <c r="M1245" t="s">
        <v>2526</v>
      </c>
    </row>
    <row r="1246" spans="1:13" x14ac:dyDescent="0.35">
      <c r="A1246">
        <v>0</v>
      </c>
      <c r="B1246">
        <v>2878</v>
      </c>
      <c r="C1246" t="s">
        <v>602</v>
      </c>
      <c r="D1246" t="s">
        <v>1301</v>
      </c>
      <c r="E1246" t="s">
        <v>2527</v>
      </c>
      <c r="F1246">
        <v>7104</v>
      </c>
      <c r="I1246">
        <v>150</v>
      </c>
      <c r="J1246">
        <v>149</v>
      </c>
      <c r="M1246" t="s">
        <v>2527</v>
      </c>
    </row>
    <row r="1247" spans="1:13" x14ac:dyDescent="0.35">
      <c r="A1247">
        <v>101525</v>
      </c>
      <c r="B1247">
        <v>1119</v>
      </c>
      <c r="C1247" t="s">
        <v>602</v>
      </c>
      <c r="D1247" t="s">
        <v>962</v>
      </c>
      <c r="E1247" t="s">
        <v>2528</v>
      </c>
      <c r="F1247">
        <v>3738</v>
      </c>
      <c r="G1247">
        <v>221785</v>
      </c>
      <c r="H1247" t="s">
        <v>964</v>
      </c>
      <c r="I1247">
        <v>150</v>
      </c>
      <c r="J1247">
        <v>151</v>
      </c>
      <c r="K1247" t="s">
        <v>979</v>
      </c>
      <c r="L1247" t="s">
        <v>980</v>
      </c>
      <c r="M1247" t="s">
        <v>2529</v>
      </c>
    </row>
    <row r="1248" spans="1:13" x14ac:dyDescent="0.35">
      <c r="A1248">
        <v>104222</v>
      </c>
      <c r="B1248">
        <v>1264</v>
      </c>
      <c r="C1248" t="s">
        <v>602</v>
      </c>
      <c r="D1248" t="s">
        <v>962</v>
      </c>
      <c r="E1248" t="s">
        <v>2530</v>
      </c>
      <c r="F1248">
        <v>5160</v>
      </c>
      <c r="G1248">
        <v>227243</v>
      </c>
      <c r="H1248" t="s">
        <v>964</v>
      </c>
      <c r="I1248">
        <v>149</v>
      </c>
      <c r="J1248">
        <v>150</v>
      </c>
      <c r="K1248" t="s">
        <v>979</v>
      </c>
      <c r="L1248" t="s">
        <v>965</v>
      </c>
      <c r="M1248" t="s">
        <v>2531</v>
      </c>
    </row>
    <row r="1249" spans="1:13" x14ac:dyDescent="0.35">
      <c r="A1249">
        <v>0</v>
      </c>
      <c r="B1249">
        <v>2877</v>
      </c>
      <c r="C1249" t="s">
        <v>602</v>
      </c>
      <c r="D1249" t="s">
        <v>1301</v>
      </c>
      <c r="E1249" t="s">
        <v>2532</v>
      </c>
      <c r="F1249">
        <v>7103</v>
      </c>
      <c r="I1249">
        <v>149</v>
      </c>
      <c r="J1249">
        <v>148</v>
      </c>
      <c r="M1249" t="s">
        <v>2532</v>
      </c>
    </row>
    <row r="1250" spans="1:13" x14ac:dyDescent="0.35">
      <c r="A1250">
        <v>102127</v>
      </c>
      <c r="B1250">
        <v>1418</v>
      </c>
      <c r="C1250" t="s">
        <v>602</v>
      </c>
      <c r="D1250" t="s">
        <v>1066</v>
      </c>
      <c r="E1250" t="s">
        <v>2533</v>
      </c>
      <c r="F1250">
        <v>4166563</v>
      </c>
      <c r="G1250">
        <v>217686</v>
      </c>
      <c r="H1250" t="s">
        <v>964</v>
      </c>
      <c r="I1250">
        <v>149</v>
      </c>
      <c r="J1250">
        <v>153</v>
      </c>
      <c r="K1250" t="s">
        <v>1068</v>
      </c>
      <c r="L1250" t="s">
        <v>965</v>
      </c>
      <c r="M1250" t="s">
        <v>2534</v>
      </c>
    </row>
    <row r="1251" spans="1:13" x14ac:dyDescent="0.35">
      <c r="A1251">
        <v>0</v>
      </c>
      <c r="B1251">
        <v>2876</v>
      </c>
      <c r="C1251" t="s">
        <v>602</v>
      </c>
      <c r="D1251" t="s">
        <v>1301</v>
      </c>
      <c r="E1251" t="s">
        <v>2535</v>
      </c>
      <c r="F1251">
        <v>7102</v>
      </c>
      <c r="I1251">
        <v>148</v>
      </c>
      <c r="J1251">
        <v>147</v>
      </c>
      <c r="M1251" t="s">
        <v>2535</v>
      </c>
    </row>
    <row r="1252" spans="1:13" x14ac:dyDescent="0.35">
      <c r="A1252">
        <v>101536</v>
      </c>
      <c r="B1252">
        <v>1130</v>
      </c>
      <c r="C1252" t="s">
        <v>602</v>
      </c>
      <c r="D1252" t="s">
        <v>962</v>
      </c>
      <c r="E1252" t="s">
        <v>2536</v>
      </c>
      <c r="F1252">
        <v>3770</v>
      </c>
      <c r="G1252">
        <v>221885</v>
      </c>
      <c r="H1252" t="s">
        <v>964</v>
      </c>
      <c r="I1252">
        <v>148</v>
      </c>
      <c r="J1252">
        <v>149</v>
      </c>
      <c r="K1252" t="s">
        <v>979</v>
      </c>
      <c r="L1252" t="s">
        <v>965</v>
      </c>
      <c r="M1252" t="s">
        <v>2537</v>
      </c>
    </row>
    <row r="1253" spans="1:13" x14ac:dyDescent="0.35">
      <c r="A1253">
        <v>103489</v>
      </c>
      <c r="B1253">
        <v>1611</v>
      </c>
      <c r="C1253" t="s">
        <v>602</v>
      </c>
      <c r="D1253" t="s">
        <v>1066</v>
      </c>
      <c r="E1253" t="s">
        <v>2538</v>
      </c>
      <c r="F1253">
        <v>4166601</v>
      </c>
      <c r="G1253">
        <v>222824</v>
      </c>
      <c r="H1253" t="s">
        <v>964</v>
      </c>
      <c r="I1253">
        <v>148</v>
      </c>
      <c r="J1253">
        <v>152</v>
      </c>
      <c r="K1253" t="s">
        <v>1068</v>
      </c>
      <c r="L1253" t="s">
        <v>965</v>
      </c>
      <c r="M1253" t="s">
        <v>2539</v>
      </c>
    </row>
    <row r="1254" spans="1:13" x14ac:dyDescent="0.35">
      <c r="A1254">
        <v>103405</v>
      </c>
      <c r="B1254">
        <v>1552</v>
      </c>
      <c r="C1254" t="s">
        <v>602</v>
      </c>
      <c r="D1254" t="s">
        <v>1066</v>
      </c>
      <c r="E1254" t="s">
        <v>2540</v>
      </c>
      <c r="F1254">
        <v>4166669</v>
      </c>
      <c r="G1254">
        <v>222708</v>
      </c>
      <c r="H1254" t="s">
        <v>964</v>
      </c>
      <c r="I1254">
        <v>147</v>
      </c>
      <c r="J1254">
        <v>151</v>
      </c>
      <c r="K1254" t="s">
        <v>1068</v>
      </c>
      <c r="L1254" t="s">
        <v>965</v>
      </c>
      <c r="M1254" t="s">
        <v>2541</v>
      </c>
    </row>
    <row r="1255" spans="1:13" x14ac:dyDescent="0.35">
      <c r="A1255">
        <v>101563</v>
      </c>
      <c r="B1255">
        <v>1156</v>
      </c>
      <c r="C1255" t="s">
        <v>602</v>
      </c>
      <c r="D1255" t="s">
        <v>962</v>
      </c>
      <c r="E1255" t="s">
        <v>2542</v>
      </c>
      <c r="F1255">
        <v>4184</v>
      </c>
      <c r="G1255">
        <v>222131</v>
      </c>
      <c r="H1255" t="s">
        <v>964</v>
      </c>
      <c r="I1255">
        <v>147</v>
      </c>
      <c r="J1255">
        <v>148</v>
      </c>
      <c r="K1255" t="s">
        <v>979</v>
      </c>
      <c r="L1255" t="s">
        <v>965</v>
      </c>
      <c r="M1255" t="s">
        <v>2543</v>
      </c>
    </row>
    <row r="1256" spans="1:13" x14ac:dyDescent="0.35">
      <c r="A1256">
        <v>0</v>
      </c>
      <c r="B1256">
        <v>2875</v>
      </c>
      <c r="C1256" t="s">
        <v>602</v>
      </c>
      <c r="D1256" t="s">
        <v>1301</v>
      </c>
      <c r="E1256" t="s">
        <v>2544</v>
      </c>
      <c r="F1256">
        <v>7101</v>
      </c>
      <c r="I1256">
        <v>147</v>
      </c>
      <c r="J1256">
        <v>146</v>
      </c>
      <c r="M1256" t="s">
        <v>2544</v>
      </c>
    </row>
    <row r="1257" spans="1:13" x14ac:dyDescent="0.35">
      <c r="A1257">
        <v>102119</v>
      </c>
      <c r="B1257">
        <v>1414</v>
      </c>
      <c r="C1257" t="s">
        <v>602</v>
      </c>
      <c r="D1257" t="s">
        <v>1066</v>
      </c>
      <c r="E1257" t="s">
        <v>2545</v>
      </c>
      <c r="F1257">
        <v>4166619</v>
      </c>
      <c r="G1257">
        <v>220804</v>
      </c>
      <c r="H1257" t="s">
        <v>964</v>
      </c>
      <c r="I1257">
        <v>146</v>
      </c>
      <c r="J1257">
        <v>150</v>
      </c>
      <c r="K1257" t="s">
        <v>1068</v>
      </c>
      <c r="L1257" t="s">
        <v>965</v>
      </c>
      <c r="M1257" t="s">
        <v>2546</v>
      </c>
    </row>
    <row r="1258" spans="1:13" x14ac:dyDescent="0.35">
      <c r="A1258">
        <v>101456</v>
      </c>
      <c r="B1258">
        <v>1062</v>
      </c>
      <c r="C1258" t="s">
        <v>602</v>
      </c>
      <c r="D1258" t="s">
        <v>962</v>
      </c>
      <c r="E1258" t="s">
        <v>2547</v>
      </c>
      <c r="F1258">
        <v>3473</v>
      </c>
      <c r="G1258">
        <v>220837</v>
      </c>
      <c r="H1258" t="s">
        <v>964</v>
      </c>
      <c r="I1258">
        <v>146</v>
      </c>
      <c r="J1258">
        <v>147</v>
      </c>
      <c r="K1258" t="s">
        <v>979</v>
      </c>
      <c r="L1258" t="s">
        <v>965</v>
      </c>
      <c r="M1258" t="s">
        <v>2548</v>
      </c>
    </row>
    <row r="1259" spans="1:13" x14ac:dyDescent="0.35">
      <c r="A1259">
        <v>0</v>
      </c>
      <c r="B1259">
        <v>2874</v>
      </c>
      <c r="C1259" t="s">
        <v>602</v>
      </c>
      <c r="D1259" t="s">
        <v>1301</v>
      </c>
      <c r="E1259" t="s">
        <v>2549</v>
      </c>
      <c r="F1259">
        <v>7100</v>
      </c>
      <c r="I1259">
        <v>146</v>
      </c>
      <c r="J1259">
        <v>145</v>
      </c>
      <c r="M1259" t="s">
        <v>2549</v>
      </c>
    </row>
    <row r="1260" spans="1:13" x14ac:dyDescent="0.35">
      <c r="A1260">
        <v>101547</v>
      </c>
      <c r="B1260">
        <v>1140</v>
      </c>
      <c r="C1260" t="s">
        <v>602</v>
      </c>
      <c r="D1260" t="s">
        <v>962</v>
      </c>
      <c r="E1260" t="s">
        <v>2550</v>
      </c>
      <c r="F1260">
        <v>3949</v>
      </c>
      <c r="G1260">
        <v>221997</v>
      </c>
      <c r="H1260" t="s">
        <v>964</v>
      </c>
      <c r="I1260">
        <v>145</v>
      </c>
      <c r="J1260">
        <v>146</v>
      </c>
      <c r="K1260" t="s">
        <v>979</v>
      </c>
      <c r="L1260" t="s">
        <v>965</v>
      </c>
      <c r="M1260" t="s">
        <v>2551</v>
      </c>
    </row>
    <row r="1261" spans="1:13" x14ac:dyDescent="0.35">
      <c r="A1261">
        <v>0</v>
      </c>
      <c r="B1261">
        <v>2873</v>
      </c>
      <c r="C1261" t="s">
        <v>602</v>
      </c>
      <c r="D1261" t="s">
        <v>1301</v>
      </c>
      <c r="E1261" t="s">
        <v>2552</v>
      </c>
      <c r="F1261">
        <v>7099</v>
      </c>
      <c r="I1261">
        <v>145</v>
      </c>
      <c r="J1261">
        <v>144</v>
      </c>
      <c r="M1261" t="s">
        <v>2552</v>
      </c>
    </row>
    <row r="1262" spans="1:13" x14ac:dyDescent="0.35">
      <c r="A1262">
        <v>103408</v>
      </c>
      <c r="B1262">
        <v>1555</v>
      </c>
      <c r="C1262" t="s">
        <v>602</v>
      </c>
      <c r="D1262" t="s">
        <v>1066</v>
      </c>
      <c r="E1262" t="s">
        <v>2553</v>
      </c>
      <c r="F1262">
        <v>4166655</v>
      </c>
      <c r="G1262">
        <v>222713</v>
      </c>
      <c r="H1262" t="s">
        <v>964</v>
      </c>
      <c r="I1262">
        <v>145</v>
      </c>
      <c r="J1262">
        <v>149</v>
      </c>
      <c r="K1262" t="s">
        <v>1068</v>
      </c>
      <c r="L1262" t="s">
        <v>965</v>
      </c>
      <c r="M1262" t="s">
        <v>2554</v>
      </c>
    </row>
    <row r="1263" spans="1:13" x14ac:dyDescent="0.35">
      <c r="A1263">
        <v>0</v>
      </c>
      <c r="B1263">
        <v>2872</v>
      </c>
      <c r="C1263" t="s">
        <v>602</v>
      </c>
      <c r="D1263" t="s">
        <v>1301</v>
      </c>
      <c r="E1263" t="s">
        <v>2555</v>
      </c>
      <c r="F1263">
        <v>7098</v>
      </c>
      <c r="I1263">
        <v>144</v>
      </c>
      <c r="J1263">
        <v>143</v>
      </c>
      <c r="M1263" t="s">
        <v>2555</v>
      </c>
    </row>
    <row r="1264" spans="1:13" x14ac:dyDescent="0.35">
      <c r="A1264">
        <v>101046</v>
      </c>
      <c r="B1264">
        <v>1363</v>
      </c>
      <c r="C1264" t="s">
        <v>602</v>
      </c>
      <c r="D1264" t="s">
        <v>1066</v>
      </c>
      <c r="E1264" t="s">
        <v>2556</v>
      </c>
      <c r="F1264">
        <v>4166546</v>
      </c>
      <c r="G1264">
        <v>217606</v>
      </c>
      <c r="H1264" t="s">
        <v>964</v>
      </c>
      <c r="I1264">
        <v>144</v>
      </c>
      <c r="J1264">
        <v>148</v>
      </c>
      <c r="K1264" t="s">
        <v>1068</v>
      </c>
      <c r="L1264" t="s">
        <v>965</v>
      </c>
      <c r="M1264" t="s">
        <v>2557</v>
      </c>
    </row>
    <row r="1265" spans="1:13" x14ac:dyDescent="0.35">
      <c r="A1265">
        <v>101597</v>
      </c>
      <c r="B1265">
        <v>1190</v>
      </c>
      <c r="C1265" t="s">
        <v>602</v>
      </c>
      <c r="D1265" t="s">
        <v>962</v>
      </c>
      <c r="E1265" t="s">
        <v>2558</v>
      </c>
      <c r="F1265">
        <v>4005</v>
      </c>
      <c r="G1265">
        <v>222861</v>
      </c>
      <c r="H1265" t="s">
        <v>964</v>
      </c>
      <c r="I1265">
        <v>144</v>
      </c>
      <c r="J1265">
        <v>145</v>
      </c>
      <c r="K1265" t="s">
        <v>979</v>
      </c>
      <c r="L1265" t="s">
        <v>965</v>
      </c>
      <c r="M1265" t="s">
        <v>2559</v>
      </c>
    </row>
    <row r="1266" spans="1:13" x14ac:dyDescent="0.35">
      <c r="A1266">
        <v>103872</v>
      </c>
      <c r="B1266">
        <v>1220</v>
      </c>
      <c r="C1266" t="s">
        <v>597</v>
      </c>
      <c r="D1266" t="s">
        <v>962</v>
      </c>
      <c r="E1266" t="s">
        <v>2560</v>
      </c>
      <c r="I1266">
        <v>143</v>
      </c>
      <c r="J1266">
        <v>142</v>
      </c>
    </row>
    <row r="1267" spans="1:13" x14ac:dyDescent="0.35">
      <c r="A1267">
        <v>0</v>
      </c>
      <c r="B1267">
        <v>2871</v>
      </c>
      <c r="C1267" t="s">
        <v>602</v>
      </c>
      <c r="D1267" t="s">
        <v>1301</v>
      </c>
      <c r="E1267" t="s">
        <v>2561</v>
      </c>
      <c r="F1267">
        <v>7097</v>
      </c>
      <c r="I1267">
        <v>143</v>
      </c>
      <c r="J1267">
        <v>142</v>
      </c>
      <c r="M1267" t="s">
        <v>2561</v>
      </c>
    </row>
    <row r="1268" spans="1:13" x14ac:dyDescent="0.35">
      <c r="A1268">
        <v>101554</v>
      </c>
      <c r="B1268">
        <v>1147</v>
      </c>
      <c r="C1268" t="s">
        <v>602</v>
      </c>
      <c r="D1268" t="s">
        <v>962</v>
      </c>
      <c r="E1268" t="s">
        <v>2562</v>
      </c>
      <c r="F1268">
        <v>3784</v>
      </c>
      <c r="G1268">
        <v>222070</v>
      </c>
      <c r="H1268" t="s">
        <v>964</v>
      </c>
      <c r="I1268">
        <v>143</v>
      </c>
      <c r="J1268">
        <v>144</v>
      </c>
      <c r="K1268" t="s">
        <v>979</v>
      </c>
      <c r="L1268" t="s">
        <v>965</v>
      </c>
      <c r="M1268" t="s">
        <v>2563</v>
      </c>
    </row>
    <row r="1269" spans="1:13" x14ac:dyDescent="0.35">
      <c r="A1269">
        <v>103404</v>
      </c>
      <c r="B1269">
        <v>1551</v>
      </c>
      <c r="C1269" t="s">
        <v>602</v>
      </c>
      <c r="D1269" t="s">
        <v>1066</v>
      </c>
      <c r="E1269" t="s">
        <v>2564</v>
      </c>
      <c r="F1269">
        <v>4166671</v>
      </c>
      <c r="G1269">
        <v>222705</v>
      </c>
      <c r="H1269" t="s">
        <v>964</v>
      </c>
      <c r="I1269">
        <v>143</v>
      </c>
      <c r="J1269">
        <v>147</v>
      </c>
      <c r="K1269" t="s">
        <v>1068</v>
      </c>
      <c r="L1269" t="s">
        <v>965</v>
      </c>
      <c r="M1269" t="s">
        <v>2565</v>
      </c>
    </row>
    <row r="1270" spans="1:13" x14ac:dyDescent="0.35">
      <c r="A1270">
        <v>0</v>
      </c>
      <c r="B1270">
        <v>2870</v>
      </c>
      <c r="C1270" t="s">
        <v>602</v>
      </c>
      <c r="D1270" t="s">
        <v>1301</v>
      </c>
      <c r="E1270" t="s">
        <v>2566</v>
      </c>
      <c r="F1270">
        <v>7096</v>
      </c>
      <c r="I1270">
        <v>142</v>
      </c>
      <c r="J1270">
        <v>141</v>
      </c>
      <c r="M1270" t="s">
        <v>2566</v>
      </c>
    </row>
    <row r="1271" spans="1:13" x14ac:dyDescent="0.35">
      <c r="A1271">
        <v>103387</v>
      </c>
      <c r="B1271">
        <v>1537</v>
      </c>
      <c r="C1271" t="s">
        <v>602</v>
      </c>
      <c r="D1271" t="s">
        <v>1066</v>
      </c>
      <c r="E1271" t="s">
        <v>2567</v>
      </c>
      <c r="F1271">
        <v>4166661</v>
      </c>
      <c r="G1271">
        <v>222689</v>
      </c>
      <c r="H1271" t="s">
        <v>964</v>
      </c>
      <c r="I1271">
        <v>142</v>
      </c>
      <c r="J1271">
        <v>146</v>
      </c>
      <c r="K1271" t="s">
        <v>1068</v>
      </c>
      <c r="L1271" t="s">
        <v>965</v>
      </c>
      <c r="M1271" t="s">
        <v>2568</v>
      </c>
    </row>
    <row r="1272" spans="1:13" x14ac:dyDescent="0.35">
      <c r="A1272">
        <v>0</v>
      </c>
      <c r="B1272">
        <v>2869</v>
      </c>
      <c r="C1272" t="s">
        <v>602</v>
      </c>
      <c r="D1272" t="s">
        <v>1301</v>
      </c>
      <c r="E1272" t="s">
        <v>2569</v>
      </c>
      <c r="F1272">
        <v>7095</v>
      </c>
      <c r="I1272">
        <v>141</v>
      </c>
      <c r="J1272">
        <v>140</v>
      </c>
      <c r="M1272" t="s">
        <v>2569</v>
      </c>
    </row>
    <row r="1273" spans="1:13" x14ac:dyDescent="0.35">
      <c r="A1273">
        <v>101529</v>
      </c>
      <c r="B1273">
        <v>1123</v>
      </c>
      <c r="C1273" t="s">
        <v>602</v>
      </c>
      <c r="D1273" t="s">
        <v>962</v>
      </c>
      <c r="E1273" t="s">
        <v>2570</v>
      </c>
      <c r="F1273">
        <v>3736</v>
      </c>
      <c r="G1273">
        <v>221801</v>
      </c>
      <c r="H1273" t="s">
        <v>964</v>
      </c>
      <c r="I1273">
        <v>141</v>
      </c>
      <c r="J1273">
        <v>142</v>
      </c>
      <c r="K1273" t="s">
        <v>979</v>
      </c>
      <c r="L1273" t="s">
        <v>965</v>
      </c>
      <c r="M1273" t="s">
        <v>2571</v>
      </c>
    </row>
    <row r="1274" spans="1:13" x14ac:dyDescent="0.35">
      <c r="A1274">
        <v>103424</v>
      </c>
      <c r="B1274">
        <v>1567</v>
      </c>
      <c r="C1274" t="s">
        <v>602</v>
      </c>
      <c r="D1274" t="s">
        <v>1066</v>
      </c>
      <c r="E1274" t="s">
        <v>2572</v>
      </c>
      <c r="F1274">
        <v>4166560</v>
      </c>
      <c r="G1274">
        <v>217649</v>
      </c>
      <c r="H1274" t="s">
        <v>964</v>
      </c>
      <c r="I1274">
        <v>141</v>
      </c>
      <c r="J1274">
        <v>145</v>
      </c>
      <c r="K1274" t="s">
        <v>1068</v>
      </c>
      <c r="L1274" t="s">
        <v>965</v>
      </c>
      <c r="M1274" t="s">
        <v>2573</v>
      </c>
    </row>
    <row r="1275" spans="1:13" x14ac:dyDescent="0.35">
      <c r="A1275">
        <v>101535</v>
      </c>
      <c r="B1275">
        <v>1129</v>
      </c>
      <c r="C1275" t="s">
        <v>602</v>
      </c>
      <c r="D1275" t="s">
        <v>962</v>
      </c>
      <c r="E1275" t="s">
        <v>2574</v>
      </c>
      <c r="F1275">
        <v>3740</v>
      </c>
      <c r="G1275">
        <v>221868</v>
      </c>
      <c r="H1275" t="s">
        <v>964</v>
      </c>
      <c r="I1275">
        <v>140</v>
      </c>
      <c r="J1275">
        <v>141</v>
      </c>
      <c r="K1275" t="s">
        <v>979</v>
      </c>
      <c r="L1275" t="s">
        <v>965</v>
      </c>
      <c r="M1275" t="s">
        <v>2575</v>
      </c>
    </row>
    <row r="1276" spans="1:13" x14ac:dyDescent="0.35">
      <c r="A1276">
        <v>0</v>
      </c>
      <c r="B1276">
        <v>2868</v>
      </c>
      <c r="C1276" t="s">
        <v>602</v>
      </c>
      <c r="D1276" t="s">
        <v>1301</v>
      </c>
      <c r="E1276" t="s">
        <v>2576</v>
      </c>
      <c r="F1276">
        <v>7094</v>
      </c>
      <c r="I1276">
        <v>140</v>
      </c>
      <c r="J1276">
        <v>139</v>
      </c>
      <c r="M1276" t="s">
        <v>2576</v>
      </c>
    </row>
    <row r="1277" spans="1:13" x14ac:dyDescent="0.35">
      <c r="A1277">
        <v>102118</v>
      </c>
      <c r="B1277">
        <v>1413</v>
      </c>
      <c r="C1277" t="s">
        <v>602</v>
      </c>
      <c r="D1277" t="s">
        <v>1066</v>
      </c>
      <c r="E1277" t="s">
        <v>2577</v>
      </c>
      <c r="F1277">
        <v>4166633</v>
      </c>
      <c r="G1277">
        <v>220803</v>
      </c>
      <c r="H1277" t="s">
        <v>964</v>
      </c>
      <c r="I1277">
        <v>140</v>
      </c>
      <c r="J1277">
        <v>144</v>
      </c>
      <c r="K1277" t="s">
        <v>1068</v>
      </c>
      <c r="L1277" t="s">
        <v>965</v>
      </c>
      <c r="M1277" t="s">
        <v>2578</v>
      </c>
    </row>
    <row r="1278" spans="1:13" x14ac:dyDescent="0.35">
      <c r="A1278">
        <v>101149</v>
      </c>
      <c r="B1278">
        <v>1366</v>
      </c>
      <c r="C1278" t="s">
        <v>602</v>
      </c>
      <c r="D1278" t="s">
        <v>1066</v>
      </c>
      <c r="E1278" t="s">
        <v>2579</v>
      </c>
      <c r="F1278">
        <v>4166627</v>
      </c>
      <c r="G1278">
        <v>219233</v>
      </c>
      <c r="H1278" t="s">
        <v>964</v>
      </c>
      <c r="I1278">
        <v>139</v>
      </c>
      <c r="J1278">
        <v>143</v>
      </c>
      <c r="K1278" t="s">
        <v>1068</v>
      </c>
      <c r="L1278" t="s">
        <v>965</v>
      </c>
      <c r="M1278" t="s">
        <v>2580</v>
      </c>
    </row>
    <row r="1279" spans="1:13" x14ac:dyDescent="0.35">
      <c r="A1279">
        <v>104186</v>
      </c>
      <c r="B1279">
        <v>1251</v>
      </c>
      <c r="C1279" t="s">
        <v>602</v>
      </c>
      <c r="D1279" t="s">
        <v>962</v>
      </c>
      <c r="E1279" t="s">
        <v>2581</v>
      </c>
      <c r="F1279">
        <v>5161</v>
      </c>
      <c r="G1279">
        <v>226884</v>
      </c>
      <c r="H1279" t="s">
        <v>964</v>
      </c>
      <c r="I1279">
        <v>139</v>
      </c>
      <c r="J1279">
        <v>140</v>
      </c>
      <c r="K1279" t="s">
        <v>979</v>
      </c>
      <c r="L1279" t="s">
        <v>965</v>
      </c>
      <c r="M1279" t="s">
        <v>2582</v>
      </c>
    </row>
    <row r="1280" spans="1:13" x14ac:dyDescent="0.35">
      <c r="A1280">
        <v>0</v>
      </c>
      <c r="B1280">
        <v>2867</v>
      </c>
      <c r="C1280" t="s">
        <v>602</v>
      </c>
      <c r="D1280" t="s">
        <v>1301</v>
      </c>
      <c r="E1280" t="s">
        <v>2583</v>
      </c>
      <c r="F1280">
        <v>7093</v>
      </c>
      <c r="I1280">
        <v>139</v>
      </c>
      <c r="J1280">
        <v>138</v>
      </c>
      <c r="M1280" t="s">
        <v>2583</v>
      </c>
    </row>
    <row r="1281" spans="1:13" x14ac:dyDescent="0.35">
      <c r="A1281">
        <v>101583</v>
      </c>
      <c r="B1281">
        <v>1176</v>
      </c>
      <c r="C1281" t="s">
        <v>602</v>
      </c>
      <c r="D1281" t="s">
        <v>962</v>
      </c>
      <c r="E1281" t="s">
        <v>2584</v>
      </c>
      <c r="F1281">
        <v>4038</v>
      </c>
      <c r="G1281">
        <v>222571</v>
      </c>
      <c r="H1281" t="s">
        <v>964</v>
      </c>
      <c r="I1281">
        <v>138</v>
      </c>
      <c r="J1281">
        <v>139</v>
      </c>
      <c r="K1281" t="s">
        <v>979</v>
      </c>
      <c r="L1281" t="s">
        <v>965</v>
      </c>
      <c r="M1281" t="s">
        <v>2585</v>
      </c>
    </row>
    <row r="1282" spans="1:13" x14ac:dyDescent="0.35">
      <c r="A1282">
        <v>0</v>
      </c>
      <c r="B1282">
        <v>2866</v>
      </c>
      <c r="C1282" t="s">
        <v>602</v>
      </c>
      <c r="D1282" t="s">
        <v>1301</v>
      </c>
      <c r="E1282" t="s">
        <v>2586</v>
      </c>
      <c r="F1282">
        <v>7092</v>
      </c>
      <c r="I1282">
        <v>138</v>
      </c>
      <c r="J1282">
        <v>137</v>
      </c>
      <c r="M1282" t="s">
        <v>2586</v>
      </c>
    </row>
    <row r="1283" spans="1:13" x14ac:dyDescent="0.35">
      <c r="A1283">
        <v>102097</v>
      </c>
      <c r="B1283">
        <v>1398</v>
      </c>
      <c r="C1283" t="s">
        <v>602</v>
      </c>
      <c r="D1283" t="s">
        <v>1066</v>
      </c>
      <c r="E1283" t="s">
        <v>2587</v>
      </c>
      <c r="F1283">
        <v>4166642</v>
      </c>
      <c r="G1283">
        <v>220652</v>
      </c>
      <c r="H1283" t="s">
        <v>964</v>
      </c>
      <c r="I1283">
        <v>138</v>
      </c>
      <c r="J1283">
        <v>142</v>
      </c>
      <c r="K1283" t="s">
        <v>1068</v>
      </c>
      <c r="L1283" t="s">
        <v>965</v>
      </c>
      <c r="M1283" t="s">
        <v>2588</v>
      </c>
    </row>
    <row r="1284" spans="1:13" x14ac:dyDescent="0.35">
      <c r="A1284">
        <v>0</v>
      </c>
      <c r="B1284">
        <v>2865</v>
      </c>
      <c r="C1284" t="s">
        <v>602</v>
      </c>
      <c r="D1284" t="s">
        <v>1301</v>
      </c>
      <c r="E1284" t="s">
        <v>2589</v>
      </c>
      <c r="F1284">
        <v>7091</v>
      </c>
      <c r="I1284">
        <v>137</v>
      </c>
      <c r="J1284">
        <v>136</v>
      </c>
      <c r="M1284" t="s">
        <v>2589</v>
      </c>
    </row>
    <row r="1285" spans="1:13" x14ac:dyDescent="0.35">
      <c r="A1285">
        <v>103888</v>
      </c>
      <c r="B1285">
        <v>1229</v>
      </c>
      <c r="C1285" t="s">
        <v>602</v>
      </c>
      <c r="D1285" t="s">
        <v>962</v>
      </c>
      <c r="E1285" t="s">
        <v>2590</v>
      </c>
      <c r="F1285">
        <v>4869</v>
      </c>
      <c r="G1285">
        <v>225327</v>
      </c>
      <c r="H1285" t="s">
        <v>964</v>
      </c>
      <c r="I1285">
        <v>137</v>
      </c>
      <c r="J1285">
        <v>138</v>
      </c>
      <c r="K1285" t="s">
        <v>979</v>
      </c>
      <c r="L1285" t="s">
        <v>965</v>
      </c>
      <c r="M1285" t="s">
        <v>2591</v>
      </c>
    </row>
    <row r="1286" spans="1:13" x14ac:dyDescent="0.35">
      <c r="A1286">
        <v>102141</v>
      </c>
      <c r="B1286">
        <v>1428</v>
      </c>
      <c r="C1286" t="s">
        <v>602</v>
      </c>
      <c r="D1286" t="s">
        <v>1066</v>
      </c>
      <c r="E1286" t="s">
        <v>2592</v>
      </c>
      <c r="F1286">
        <v>4166635</v>
      </c>
      <c r="G1286">
        <v>221133</v>
      </c>
      <c r="H1286" t="s">
        <v>964</v>
      </c>
      <c r="I1286">
        <v>137</v>
      </c>
      <c r="J1286">
        <v>141</v>
      </c>
      <c r="K1286" t="s">
        <v>1068</v>
      </c>
      <c r="L1286" t="s">
        <v>1581</v>
      </c>
      <c r="M1286" t="s">
        <v>2593</v>
      </c>
    </row>
    <row r="1287" spans="1:13" x14ac:dyDescent="0.35">
      <c r="A1287">
        <v>102076</v>
      </c>
      <c r="B1287">
        <v>1383</v>
      </c>
      <c r="C1287" t="s">
        <v>602</v>
      </c>
      <c r="D1287" t="s">
        <v>1066</v>
      </c>
      <c r="E1287" t="s">
        <v>2594</v>
      </c>
      <c r="F1287">
        <v>4166545</v>
      </c>
      <c r="G1287">
        <v>217604</v>
      </c>
      <c r="H1287" t="s">
        <v>964</v>
      </c>
      <c r="I1287">
        <v>136</v>
      </c>
      <c r="J1287">
        <v>140</v>
      </c>
      <c r="K1287" t="s">
        <v>1068</v>
      </c>
      <c r="L1287" t="s">
        <v>965</v>
      </c>
      <c r="M1287" t="s">
        <v>2595</v>
      </c>
    </row>
    <row r="1288" spans="1:13" x14ac:dyDescent="0.35">
      <c r="A1288">
        <v>101497</v>
      </c>
      <c r="B1288">
        <v>1095</v>
      </c>
      <c r="C1288" t="s">
        <v>602</v>
      </c>
      <c r="D1288" t="s">
        <v>962</v>
      </c>
      <c r="E1288" t="s">
        <v>2596</v>
      </c>
      <c r="F1288">
        <v>3623</v>
      </c>
      <c r="G1288">
        <v>221509</v>
      </c>
      <c r="H1288" t="s">
        <v>964</v>
      </c>
      <c r="I1288">
        <v>136</v>
      </c>
      <c r="J1288">
        <v>137</v>
      </c>
      <c r="K1288" t="s">
        <v>2597</v>
      </c>
      <c r="L1288" t="s">
        <v>965</v>
      </c>
      <c r="M1288" t="s">
        <v>2598</v>
      </c>
    </row>
    <row r="1289" spans="1:13" x14ac:dyDescent="0.35">
      <c r="A1289">
        <v>0</v>
      </c>
      <c r="B1289">
        <v>2864</v>
      </c>
      <c r="C1289" t="s">
        <v>602</v>
      </c>
      <c r="D1289" t="s">
        <v>1301</v>
      </c>
      <c r="E1289" t="s">
        <v>2599</v>
      </c>
      <c r="F1289">
        <v>7090</v>
      </c>
      <c r="I1289">
        <v>136</v>
      </c>
      <c r="J1289">
        <v>135</v>
      </c>
      <c r="M1289" t="s">
        <v>2599</v>
      </c>
    </row>
    <row r="1290" spans="1:13" x14ac:dyDescent="0.35">
      <c r="A1290">
        <v>104162</v>
      </c>
      <c r="B1290">
        <v>1684</v>
      </c>
      <c r="C1290" t="s">
        <v>602</v>
      </c>
      <c r="D1290" t="s">
        <v>1066</v>
      </c>
      <c r="E1290" t="s">
        <v>2600</v>
      </c>
      <c r="F1290">
        <v>4166581</v>
      </c>
      <c r="G1290">
        <v>226806</v>
      </c>
      <c r="H1290" t="s">
        <v>964</v>
      </c>
      <c r="I1290">
        <v>135</v>
      </c>
      <c r="J1290">
        <v>139</v>
      </c>
      <c r="K1290" t="s">
        <v>1068</v>
      </c>
      <c r="L1290" t="s">
        <v>1581</v>
      </c>
      <c r="M1290" t="s">
        <v>2601</v>
      </c>
    </row>
    <row r="1291" spans="1:13" x14ac:dyDescent="0.35">
      <c r="A1291">
        <v>101523</v>
      </c>
      <c r="B1291">
        <v>1117</v>
      </c>
      <c r="C1291" t="s">
        <v>602</v>
      </c>
      <c r="D1291" t="s">
        <v>962</v>
      </c>
      <c r="E1291" t="s">
        <v>2602</v>
      </c>
      <c r="F1291">
        <v>3733</v>
      </c>
      <c r="G1291">
        <v>221768</v>
      </c>
      <c r="H1291" t="s">
        <v>964</v>
      </c>
      <c r="I1291">
        <v>135</v>
      </c>
      <c r="J1291">
        <v>136</v>
      </c>
      <c r="K1291" t="s">
        <v>1051</v>
      </c>
      <c r="L1291" t="s">
        <v>965</v>
      </c>
      <c r="M1291" t="s">
        <v>2603</v>
      </c>
    </row>
    <row r="1292" spans="1:13" x14ac:dyDescent="0.35">
      <c r="A1292">
        <v>0</v>
      </c>
      <c r="B1292">
        <v>2863</v>
      </c>
      <c r="C1292" t="s">
        <v>602</v>
      </c>
      <c r="D1292" t="s">
        <v>1301</v>
      </c>
      <c r="E1292" t="s">
        <v>2604</v>
      </c>
      <c r="F1292">
        <v>7089</v>
      </c>
      <c r="I1292">
        <v>135</v>
      </c>
      <c r="J1292">
        <v>134</v>
      </c>
      <c r="M1292" t="s">
        <v>2604</v>
      </c>
    </row>
    <row r="1293" spans="1:13" x14ac:dyDescent="0.35">
      <c r="A1293">
        <v>0</v>
      </c>
      <c r="B1293">
        <v>2862</v>
      </c>
      <c r="C1293" t="s">
        <v>602</v>
      </c>
      <c r="D1293" t="s">
        <v>1301</v>
      </c>
      <c r="E1293" t="s">
        <v>2605</v>
      </c>
      <c r="F1293">
        <v>7088</v>
      </c>
      <c r="I1293">
        <v>134</v>
      </c>
      <c r="J1293">
        <v>133</v>
      </c>
      <c r="M1293" t="s">
        <v>2605</v>
      </c>
    </row>
    <row r="1294" spans="1:13" x14ac:dyDescent="0.35">
      <c r="A1294">
        <v>102111</v>
      </c>
      <c r="B1294">
        <v>1410</v>
      </c>
      <c r="C1294" t="s">
        <v>602</v>
      </c>
      <c r="D1294" t="s">
        <v>1066</v>
      </c>
      <c r="E1294" t="s">
        <v>2606</v>
      </c>
      <c r="F1294">
        <v>4166622</v>
      </c>
      <c r="G1294">
        <v>220783</v>
      </c>
      <c r="H1294" t="s">
        <v>964</v>
      </c>
      <c r="I1294">
        <v>134</v>
      </c>
      <c r="J1294">
        <v>138</v>
      </c>
      <c r="K1294" t="s">
        <v>1068</v>
      </c>
      <c r="L1294" t="s">
        <v>965</v>
      </c>
      <c r="M1294" t="s">
        <v>2607</v>
      </c>
    </row>
    <row r="1295" spans="1:13" x14ac:dyDescent="0.35">
      <c r="A1295">
        <v>101412</v>
      </c>
      <c r="B1295">
        <v>1030</v>
      </c>
      <c r="C1295" t="s">
        <v>597</v>
      </c>
      <c r="D1295" t="s">
        <v>962</v>
      </c>
      <c r="E1295" t="s">
        <v>2608</v>
      </c>
      <c r="F1295">
        <v>3602</v>
      </c>
      <c r="G1295">
        <v>219514</v>
      </c>
      <c r="H1295" t="s">
        <v>964</v>
      </c>
      <c r="I1295">
        <v>134</v>
      </c>
      <c r="J1295">
        <v>135</v>
      </c>
      <c r="K1295" t="s">
        <v>2609</v>
      </c>
      <c r="L1295" t="s">
        <v>980</v>
      </c>
      <c r="M1295" t="s">
        <v>2610</v>
      </c>
    </row>
    <row r="1296" spans="1:13" x14ac:dyDescent="0.35">
      <c r="A1296">
        <v>104157</v>
      </c>
      <c r="B1296">
        <v>1680</v>
      </c>
      <c r="C1296" t="s">
        <v>602</v>
      </c>
      <c r="D1296" t="s">
        <v>1066</v>
      </c>
      <c r="E1296" t="s">
        <v>2611</v>
      </c>
      <c r="F1296">
        <v>4166582</v>
      </c>
      <c r="G1296">
        <v>217677</v>
      </c>
      <c r="H1296" t="s">
        <v>964</v>
      </c>
      <c r="I1296">
        <v>133</v>
      </c>
      <c r="J1296">
        <v>137</v>
      </c>
      <c r="K1296" t="s">
        <v>1068</v>
      </c>
      <c r="L1296" t="s">
        <v>1581</v>
      </c>
      <c r="M1296" t="s">
        <v>2612</v>
      </c>
    </row>
    <row r="1297" spans="1:13" x14ac:dyDescent="0.35">
      <c r="A1297">
        <v>0</v>
      </c>
      <c r="B1297">
        <v>2861</v>
      </c>
      <c r="C1297" t="s">
        <v>602</v>
      </c>
      <c r="D1297" t="s">
        <v>1301</v>
      </c>
      <c r="E1297" t="s">
        <v>2613</v>
      </c>
      <c r="F1297">
        <v>7087</v>
      </c>
      <c r="I1297">
        <v>133</v>
      </c>
      <c r="J1297">
        <v>132</v>
      </c>
      <c r="M1297" t="s">
        <v>2613</v>
      </c>
    </row>
    <row r="1298" spans="1:13" x14ac:dyDescent="0.35">
      <c r="A1298">
        <v>103391</v>
      </c>
      <c r="B1298">
        <v>1540</v>
      </c>
      <c r="C1298" t="s">
        <v>602</v>
      </c>
      <c r="D1298" t="s">
        <v>1066</v>
      </c>
      <c r="E1298" t="s">
        <v>2614</v>
      </c>
      <c r="F1298">
        <v>4166634</v>
      </c>
      <c r="G1298">
        <v>222695</v>
      </c>
      <c r="H1298" t="s">
        <v>964</v>
      </c>
      <c r="I1298">
        <v>132</v>
      </c>
      <c r="J1298">
        <v>136</v>
      </c>
      <c r="K1298" t="s">
        <v>1068</v>
      </c>
      <c r="L1298" t="s">
        <v>965</v>
      </c>
      <c r="M1298" t="s">
        <v>2615</v>
      </c>
    </row>
    <row r="1299" spans="1:13" x14ac:dyDescent="0.35">
      <c r="A1299">
        <v>0</v>
      </c>
      <c r="B1299">
        <v>2860</v>
      </c>
      <c r="C1299" t="s">
        <v>602</v>
      </c>
      <c r="D1299" t="s">
        <v>1301</v>
      </c>
      <c r="E1299" t="s">
        <v>2616</v>
      </c>
      <c r="F1299">
        <v>7086</v>
      </c>
      <c r="I1299">
        <v>132</v>
      </c>
      <c r="J1299">
        <v>131</v>
      </c>
      <c r="M1299" t="s">
        <v>2616</v>
      </c>
    </row>
    <row r="1300" spans="1:13" x14ac:dyDescent="0.35">
      <c r="A1300">
        <v>101470</v>
      </c>
      <c r="B1300">
        <v>1071</v>
      </c>
      <c r="C1300" t="s">
        <v>602</v>
      </c>
      <c r="D1300" t="s">
        <v>962</v>
      </c>
      <c r="E1300" t="s">
        <v>2617</v>
      </c>
      <c r="F1300">
        <v>3531</v>
      </c>
      <c r="G1300">
        <v>221130</v>
      </c>
      <c r="H1300" t="s">
        <v>964</v>
      </c>
      <c r="I1300">
        <v>132</v>
      </c>
      <c r="J1300">
        <v>133</v>
      </c>
      <c r="K1300" t="s">
        <v>1051</v>
      </c>
      <c r="L1300" t="s">
        <v>965</v>
      </c>
      <c r="M1300" t="s">
        <v>2618</v>
      </c>
    </row>
    <row r="1301" spans="1:13" x14ac:dyDescent="0.35">
      <c r="A1301">
        <v>101542</v>
      </c>
      <c r="B1301">
        <v>1135</v>
      </c>
      <c r="C1301" t="s">
        <v>602</v>
      </c>
      <c r="D1301" t="s">
        <v>962</v>
      </c>
      <c r="E1301" t="s">
        <v>2619</v>
      </c>
      <c r="F1301">
        <v>3954</v>
      </c>
      <c r="G1301">
        <v>221948</v>
      </c>
      <c r="H1301" t="s">
        <v>964</v>
      </c>
      <c r="I1301">
        <v>131</v>
      </c>
      <c r="J1301">
        <v>132</v>
      </c>
      <c r="K1301" t="s">
        <v>979</v>
      </c>
      <c r="L1301" t="s">
        <v>965</v>
      </c>
      <c r="M1301" t="s">
        <v>2620</v>
      </c>
    </row>
    <row r="1302" spans="1:13" x14ac:dyDescent="0.35">
      <c r="A1302">
        <v>104164</v>
      </c>
      <c r="B1302">
        <v>1686</v>
      </c>
      <c r="C1302" t="s">
        <v>602</v>
      </c>
      <c r="D1302" t="s">
        <v>1066</v>
      </c>
      <c r="E1302" t="s">
        <v>2621</v>
      </c>
      <c r="F1302">
        <v>4166584</v>
      </c>
      <c r="G1302">
        <v>217736</v>
      </c>
      <c r="H1302" t="s">
        <v>964</v>
      </c>
      <c r="I1302">
        <v>131</v>
      </c>
      <c r="J1302">
        <v>135</v>
      </c>
      <c r="K1302" t="s">
        <v>1068</v>
      </c>
      <c r="L1302" t="s">
        <v>1581</v>
      </c>
      <c r="M1302" t="s">
        <v>2622</v>
      </c>
    </row>
    <row r="1303" spans="1:13" x14ac:dyDescent="0.35">
      <c r="A1303">
        <v>0</v>
      </c>
      <c r="B1303">
        <v>2859</v>
      </c>
      <c r="C1303" t="s">
        <v>602</v>
      </c>
      <c r="D1303" t="s">
        <v>1301</v>
      </c>
      <c r="E1303" t="s">
        <v>2623</v>
      </c>
      <c r="F1303">
        <v>7085</v>
      </c>
      <c r="I1303">
        <v>131</v>
      </c>
      <c r="J1303">
        <v>130</v>
      </c>
      <c r="M1303" t="s">
        <v>2623</v>
      </c>
    </row>
    <row r="1304" spans="1:13" x14ac:dyDescent="0.35">
      <c r="A1304">
        <v>102101</v>
      </c>
      <c r="B1304">
        <v>1401</v>
      </c>
      <c r="C1304" t="s">
        <v>602</v>
      </c>
      <c r="D1304" t="s">
        <v>1066</v>
      </c>
      <c r="E1304" t="s">
        <v>2624</v>
      </c>
      <c r="F1304">
        <v>4166628</v>
      </c>
      <c r="G1304">
        <v>220673</v>
      </c>
      <c r="H1304" t="s">
        <v>964</v>
      </c>
      <c r="I1304">
        <v>130</v>
      </c>
      <c r="J1304">
        <v>134</v>
      </c>
      <c r="K1304" t="s">
        <v>1068</v>
      </c>
      <c r="L1304" t="s">
        <v>965</v>
      </c>
      <c r="M1304" t="s">
        <v>2625</v>
      </c>
    </row>
    <row r="1305" spans="1:13" x14ac:dyDescent="0.35">
      <c r="A1305">
        <v>0</v>
      </c>
      <c r="B1305">
        <v>2858</v>
      </c>
      <c r="C1305" t="s">
        <v>602</v>
      </c>
      <c r="D1305" t="s">
        <v>1301</v>
      </c>
      <c r="E1305" t="s">
        <v>2626</v>
      </c>
      <c r="F1305">
        <v>7084</v>
      </c>
      <c r="I1305">
        <v>130</v>
      </c>
      <c r="J1305">
        <v>129</v>
      </c>
      <c r="M1305" t="s">
        <v>2626</v>
      </c>
    </row>
    <row r="1306" spans="1:13" x14ac:dyDescent="0.35">
      <c r="A1306">
        <v>104188</v>
      </c>
      <c r="B1306">
        <v>1252</v>
      </c>
      <c r="C1306" t="s">
        <v>602</v>
      </c>
      <c r="D1306" t="s">
        <v>962</v>
      </c>
      <c r="E1306" t="s">
        <v>2627</v>
      </c>
      <c r="F1306">
        <v>5177</v>
      </c>
      <c r="G1306">
        <v>226895</v>
      </c>
      <c r="H1306" t="s">
        <v>964</v>
      </c>
      <c r="I1306">
        <v>130</v>
      </c>
      <c r="J1306">
        <v>131</v>
      </c>
      <c r="K1306" t="s">
        <v>979</v>
      </c>
      <c r="L1306" t="s">
        <v>1581</v>
      </c>
      <c r="M1306" t="s">
        <v>2628</v>
      </c>
    </row>
    <row r="1307" spans="1:13" x14ac:dyDescent="0.35">
      <c r="A1307">
        <v>103400</v>
      </c>
      <c r="B1307">
        <v>1547</v>
      </c>
      <c r="C1307" t="s">
        <v>602</v>
      </c>
      <c r="D1307" t="s">
        <v>1066</v>
      </c>
      <c r="E1307" t="s">
        <v>2629</v>
      </c>
      <c r="F1307">
        <v>4166603</v>
      </c>
      <c r="G1307">
        <v>222706</v>
      </c>
      <c r="H1307" t="s">
        <v>964</v>
      </c>
      <c r="I1307">
        <v>129</v>
      </c>
      <c r="J1307">
        <v>133</v>
      </c>
      <c r="K1307" t="s">
        <v>1068</v>
      </c>
      <c r="L1307" t="s">
        <v>965</v>
      </c>
      <c r="M1307" t="s">
        <v>2630</v>
      </c>
    </row>
    <row r="1308" spans="1:13" x14ac:dyDescent="0.35">
      <c r="A1308">
        <v>104193</v>
      </c>
      <c r="B1308">
        <v>1254</v>
      </c>
      <c r="C1308" t="s">
        <v>602</v>
      </c>
      <c r="D1308" t="s">
        <v>962</v>
      </c>
      <c r="E1308" t="s">
        <v>2631</v>
      </c>
      <c r="F1308">
        <v>5162</v>
      </c>
      <c r="G1308">
        <v>226911</v>
      </c>
      <c r="H1308" t="s">
        <v>964</v>
      </c>
      <c r="I1308">
        <v>129</v>
      </c>
      <c r="J1308">
        <v>130</v>
      </c>
      <c r="K1308" t="s">
        <v>979</v>
      </c>
      <c r="L1308" t="s">
        <v>965</v>
      </c>
      <c r="M1308" t="s">
        <v>2632</v>
      </c>
    </row>
    <row r="1309" spans="1:13" x14ac:dyDescent="0.35">
      <c r="A1309">
        <v>0</v>
      </c>
      <c r="B1309">
        <v>2857</v>
      </c>
      <c r="C1309" t="s">
        <v>602</v>
      </c>
      <c r="D1309" t="s">
        <v>1301</v>
      </c>
      <c r="E1309" t="s">
        <v>2633</v>
      </c>
      <c r="F1309">
        <v>7083</v>
      </c>
      <c r="I1309">
        <v>129</v>
      </c>
      <c r="J1309">
        <v>128</v>
      </c>
      <c r="M1309" t="s">
        <v>2633</v>
      </c>
    </row>
    <row r="1310" spans="1:13" x14ac:dyDescent="0.35">
      <c r="A1310">
        <v>102108</v>
      </c>
      <c r="B1310">
        <v>1407</v>
      </c>
      <c r="C1310" t="s">
        <v>597</v>
      </c>
      <c r="D1310" t="s">
        <v>1066</v>
      </c>
      <c r="E1310" t="s">
        <v>2634</v>
      </c>
      <c r="F1310">
        <v>4166675</v>
      </c>
      <c r="G1310">
        <v>220651</v>
      </c>
      <c r="I1310">
        <v>128</v>
      </c>
      <c r="J1310">
        <v>132</v>
      </c>
      <c r="M1310" t="s">
        <v>2635</v>
      </c>
    </row>
    <row r="1311" spans="1:13" x14ac:dyDescent="0.35">
      <c r="A1311">
        <v>101431</v>
      </c>
      <c r="B1311">
        <v>1045</v>
      </c>
      <c r="C1311" t="s">
        <v>602</v>
      </c>
      <c r="D1311" t="s">
        <v>962</v>
      </c>
      <c r="E1311" t="s">
        <v>2636</v>
      </c>
      <c r="F1311">
        <v>3496</v>
      </c>
      <c r="G1311">
        <v>219412</v>
      </c>
      <c r="H1311" t="s">
        <v>964</v>
      </c>
      <c r="I1311">
        <v>128</v>
      </c>
      <c r="J1311">
        <v>129</v>
      </c>
      <c r="K1311" t="s">
        <v>979</v>
      </c>
      <c r="L1311" t="s">
        <v>980</v>
      </c>
      <c r="M1311" t="s">
        <v>2637</v>
      </c>
    </row>
    <row r="1312" spans="1:13" x14ac:dyDescent="0.35">
      <c r="A1312">
        <v>0</v>
      </c>
      <c r="B1312">
        <v>2856</v>
      </c>
      <c r="C1312" t="s">
        <v>602</v>
      </c>
      <c r="D1312" t="s">
        <v>1301</v>
      </c>
      <c r="E1312" t="s">
        <v>2638</v>
      </c>
      <c r="F1312">
        <v>7082</v>
      </c>
      <c r="I1312">
        <v>128</v>
      </c>
      <c r="J1312">
        <v>127</v>
      </c>
      <c r="M1312" t="s">
        <v>2638</v>
      </c>
    </row>
    <row r="1313" spans="1:13" x14ac:dyDescent="0.35">
      <c r="A1313">
        <v>103443</v>
      </c>
      <c r="B1313">
        <v>1586</v>
      </c>
      <c r="C1313" t="s">
        <v>602</v>
      </c>
      <c r="D1313" t="s">
        <v>1066</v>
      </c>
      <c r="E1313" t="s">
        <v>2639</v>
      </c>
      <c r="F1313">
        <v>4166555</v>
      </c>
      <c r="G1313">
        <v>217684</v>
      </c>
      <c r="H1313" t="s">
        <v>964</v>
      </c>
      <c r="I1313">
        <v>127</v>
      </c>
      <c r="J1313">
        <v>131</v>
      </c>
      <c r="K1313" t="s">
        <v>1068</v>
      </c>
      <c r="L1313" t="s">
        <v>965</v>
      </c>
      <c r="M1313" t="s">
        <v>2640</v>
      </c>
    </row>
    <row r="1314" spans="1:13" x14ac:dyDescent="0.35">
      <c r="A1314">
        <v>0</v>
      </c>
      <c r="B1314">
        <v>2855</v>
      </c>
      <c r="C1314" t="s">
        <v>602</v>
      </c>
      <c r="D1314" t="s">
        <v>1301</v>
      </c>
      <c r="E1314" t="s">
        <v>2641</v>
      </c>
      <c r="F1314">
        <v>7081</v>
      </c>
      <c r="I1314">
        <v>127</v>
      </c>
      <c r="J1314">
        <v>126</v>
      </c>
      <c r="M1314" t="s">
        <v>2641</v>
      </c>
    </row>
    <row r="1315" spans="1:13" x14ac:dyDescent="0.35">
      <c r="A1315">
        <v>101378</v>
      </c>
      <c r="B1315">
        <v>1004</v>
      </c>
      <c r="C1315" t="s">
        <v>602</v>
      </c>
      <c r="D1315" t="s">
        <v>962</v>
      </c>
      <c r="E1315" t="s">
        <v>2642</v>
      </c>
      <c r="F1315">
        <v>3480</v>
      </c>
      <c r="G1315">
        <v>219793</v>
      </c>
      <c r="H1315" t="s">
        <v>964</v>
      </c>
      <c r="I1315">
        <v>127</v>
      </c>
      <c r="J1315">
        <v>128</v>
      </c>
      <c r="K1315" t="s">
        <v>979</v>
      </c>
      <c r="L1315" t="s">
        <v>980</v>
      </c>
      <c r="M1315" t="s">
        <v>2643</v>
      </c>
    </row>
    <row r="1316" spans="1:13" x14ac:dyDescent="0.35">
      <c r="A1316">
        <v>0</v>
      </c>
      <c r="B1316">
        <v>2854</v>
      </c>
      <c r="C1316" t="s">
        <v>602</v>
      </c>
      <c r="D1316" t="s">
        <v>1301</v>
      </c>
      <c r="E1316" t="s">
        <v>2644</v>
      </c>
      <c r="F1316">
        <v>7080</v>
      </c>
      <c r="I1316">
        <v>126</v>
      </c>
      <c r="J1316">
        <v>125</v>
      </c>
      <c r="M1316" t="s">
        <v>2644</v>
      </c>
    </row>
    <row r="1317" spans="1:13" x14ac:dyDescent="0.35">
      <c r="A1317">
        <v>103700</v>
      </c>
      <c r="B1317">
        <v>1639</v>
      </c>
      <c r="C1317" t="s">
        <v>602</v>
      </c>
      <c r="D1317" t="s">
        <v>1066</v>
      </c>
      <c r="E1317" t="s">
        <v>2645</v>
      </c>
      <c r="F1317">
        <v>4166682</v>
      </c>
      <c r="G1317">
        <v>217622</v>
      </c>
      <c r="H1317" t="s">
        <v>964</v>
      </c>
      <c r="I1317">
        <v>126</v>
      </c>
      <c r="J1317">
        <v>130</v>
      </c>
      <c r="K1317" t="s">
        <v>1068</v>
      </c>
      <c r="L1317" t="s">
        <v>965</v>
      </c>
      <c r="M1317" t="s">
        <v>2646</v>
      </c>
    </row>
    <row r="1318" spans="1:13" x14ac:dyDescent="0.35">
      <c r="A1318">
        <v>101363</v>
      </c>
      <c r="B1318">
        <v>991</v>
      </c>
      <c r="C1318" t="s">
        <v>602</v>
      </c>
      <c r="D1318" t="s">
        <v>962</v>
      </c>
      <c r="E1318" t="s">
        <v>2647</v>
      </c>
      <c r="F1318">
        <v>3422</v>
      </c>
      <c r="G1318">
        <v>219736</v>
      </c>
      <c r="H1318" t="s">
        <v>964</v>
      </c>
      <c r="I1318">
        <v>126</v>
      </c>
      <c r="J1318">
        <v>127</v>
      </c>
      <c r="K1318" t="s">
        <v>979</v>
      </c>
      <c r="L1318" t="s">
        <v>965</v>
      </c>
      <c r="M1318" t="s">
        <v>2648</v>
      </c>
    </row>
    <row r="1319" spans="1:13" x14ac:dyDescent="0.35">
      <c r="A1319">
        <v>101538</v>
      </c>
      <c r="B1319">
        <v>1132</v>
      </c>
      <c r="C1319" t="s">
        <v>602</v>
      </c>
      <c r="D1319" t="s">
        <v>962</v>
      </c>
      <c r="E1319" t="s">
        <v>2649</v>
      </c>
      <c r="F1319">
        <v>3621</v>
      </c>
      <c r="G1319">
        <v>221910</v>
      </c>
      <c r="H1319" t="s">
        <v>964</v>
      </c>
      <c r="I1319">
        <v>125</v>
      </c>
      <c r="J1319">
        <v>126</v>
      </c>
      <c r="K1319" t="s">
        <v>979</v>
      </c>
      <c r="L1319" t="s">
        <v>965</v>
      </c>
      <c r="M1319" t="s">
        <v>2650</v>
      </c>
    </row>
    <row r="1320" spans="1:13" x14ac:dyDescent="0.35">
      <c r="A1320">
        <v>103484</v>
      </c>
      <c r="B1320">
        <v>1607</v>
      </c>
      <c r="C1320" t="s">
        <v>602</v>
      </c>
      <c r="D1320" t="s">
        <v>1066</v>
      </c>
      <c r="E1320" t="s">
        <v>2651</v>
      </c>
      <c r="F1320">
        <v>4166564</v>
      </c>
      <c r="G1320">
        <v>23331</v>
      </c>
      <c r="H1320" t="s">
        <v>964</v>
      </c>
      <c r="I1320">
        <v>125</v>
      </c>
      <c r="J1320">
        <v>129</v>
      </c>
      <c r="K1320" t="s">
        <v>1068</v>
      </c>
      <c r="L1320" t="s">
        <v>965</v>
      </c>
      <c r="M1320" t="s">
        <v>2652</v>
      </c>
    </row>
    <row r="1321" spans="1:13" x14ac:dyDescent="0.35">
      <c r="A1321">
        <v>0</v>
      </c>
      <c r="B1321">
        <v>2853</v>
      </c>
      <c r="C1321" t="s">
        <v>602</v>
      </c>
      <c r="D1321" t="s">
        <v>1301</v>
      </c>
      <c r="E1321" t="s">
        <v>2653</v>
      </c>
      <c r="F1321">
        <v>7079</v>
      </c>
      <c r="I1321">
        <v>125</v>
      </c>
      <c r="J1321">
        <v>124</v>
      </c>
      <c r="M1321" t="s">
        <v>2653</v>
      </c>
    </row>
    <row r="1322" spans="1:13" x14ac:dyDescent="0.35">
      <c r="A1322">
        <v>0</v>
      </c>
      <c r="B1322">
        <v>2852</v>
      </c>
      <c r="C1322" t="s">
        <v>602</v>
      </c>
      <c r="D1322" t="s">
        <v>1301</v>
      </c>
      <c r="E1322" t="s">
        <v>2654</v>
      </c>
      <c r="F1322">
        <v>7078</v>
      </c>
      <c r="I1322">
        <v>124</v>
      </c>
      <c r="J1322">
        <v>123</v>
      </c>
      <c r="M1322" t="s">
        <v>2654</v>
      </c>
    </row>
    <row r="1323" spans="1:13" x14ac:dyDescent="0.35">
      <c r="A1323">
        <v>102103</v>
      </c>
      <c r="B1323">
        <v>1403</v>
      </c>
      <c r="C1323" t="s">
        <v>602</v>
      </c>
      <c r="D1323" t="s">
        <v>1066</v>
      </c>
      <c r="E1323" t="s">
        <v>2655</v>
      </c>
      <c r="F1323">
        <v>4166608</v>
      </c>
      <c r="G1323">
        <v>220701</v>
      </c>
      <c r="H1323" t="s">
        <v>964</v>
      </c>
      <c r="I1323">
        <v>124</v>
      </c>
      <c r="J1323">
        <v>128</v>
      </c>
      <c r="K1323" t="s">
        <v>1068</v>
      </c>
      <c r="L1323" t="s">
        <v>965</v>
      </c>
      <c r="M1323" t="s">
        <v>2656</v>
      </c>
    </row>
    <row r="1324" spans="1:13" x14ac:dyDescent="0.35">
      <c r="A1324">
        <v>101573</v>
      </c>
      <c r="B1324">
        <v>1166</v>
      </c>
      <c r="C1324" t="s">
        <v>602</v>
      </c>
      <c r="D1324" t="s">
        <v>962</v>
      </c>
      <c r="E1324" t="s">
        <v>2657</v>
      </c>
      <c r="F1324">
        <v>3957</v>
      </c>
      <c r="G1324">
        <v>222361</v>
      </c>
      <c r="H1324" t="s">
        <v>964</v>
      </c>
      <c r="I1324">
        <v>124</v>
      </c>
      <c r="J1324">
        <v>125</v>
      </c>
      <c r="K1324" t="s">
        <v>979</v>
      </c>
      <c r="L1324" t="s">
        <v>965</v>
      </c>
      <c r="M1324" t="s">
        <v>2658</v>
      </c>
    </row>
    <row r="1325" spans="1:13" x14ac:dyDescent="0.35">
      <c r="A1325">
        <v>0</v>
      </c>
      <c r="B1325">
        <v>2851</v>
      </c>
      <c r="C1325" t="s">
        <v>602</v>
      </c>
      <c r="D1325" t="s">
        <v>1301</v>
      </c>
      <c r="E1325" t="s">
        <v>2659</v>
      </c>
      <c r="F1325">
        <v>7077</v>
      </c>
      <c r="I1325">
        <v>123</v>
      </c>
      <c r="J1325">
        <v>122</v>
      </c>
      <c r="M1325" t="s">
        <v>2659</v>
      </c>
    </row>
    <row r="1326" spans="1:13" x14ac:dyDescent="0.35">
      <c r="A1326">
        <v>103546</v>
      </c>
      <c r="B1326">
        <v>1624</v>
      </c>
      <c r="C1326" t="s">
        <v>602</v>
      </c>
      <c r="D1326" t="s">
        <v>1066</v>
      </c>
      <c r="E1326" t="s">
        <v>2660</v>
      </c>
      <c r="F1326">
        <v>4166632</v>
      </c>
      <c r="G1326">
        <v>222920</v>
      </c>
      <c r="H1326" t="s">
        <v>964</v>
      </c>
      <c r="I1326">
        <v>123</v>
      </c>
      <c r="J1326">
        <v>127</v>
      </c>
      <c r="K1326" t="s">
        <v>1068</v>
      </c>
      <c r="L1326" t="s">
        <v>965</v>
      </c>
      <c r="M1326" t="s">
        <v>2661</v>
      </c>
    </row>
    <row r="1327" spans="1:13" x14ac:dyDescent="0.35">
      <c r="A1327">
        <v>101578</v>
      </c>
      <c r="B1327">
        <v>1171</v>
      </c>
      <c r="C1327" t="s">
        <v>602</v>
      </c>
      <c r="D1327" t="s">
        <v>962</v>
      </c>
      <c r="E1327" t="s">
        <v>2662</v>
      </c>
      <c r="F1327">
        <v>4097</v>
      </c>
      <c r="G1327">
        <v>222416</v>
      </c>
      <c r="H1327" t="s">
        <v>964</v>
      </c>
      <c r="I1327">
        <v>123</v>
      </c>
      <c r="J1327">
        <v>123</v>
      </c>
      <c r="K1327" t="s">
        <v>979</v>
      </c>
      <c r="L1327" t="s">
        <v>965</v>
      </c>
      <c r="M1327" t="s">
        <v>2663</v>
      </c>
    </row>
    <row r="1328" spans="1:13" x14ac:dyDescent="0.35">
      <c r="A1328">
        <v>102100</v>
      </c>
      <c r="B1328">
        <v>1400</v>
      </c>
      <c r="C1328" t="s">
        <v>602</v>
      </c>
      <c r="D1328" t="s">
        <v>1066</v>
      </c>
      <c r="E1328" t="s">
        <v>2664</v>
      </c>
      <c r="F1328">
        <v>4166667</v>
      </c>
      <c r="G1328">
        <v>220657</v>
      </c>
      <c r="H1328" t="s">
        <v>964</v>
      </c>
      <c r="I1328">
        <v>122</v>
      </c>
      <c r="J1328">
        <v>126</v>
      </c>
      <c r="K1328" t="s">
        <v>1068</v>
      </c>
      <c r="L1328" t="s">
        <v>980</v>
      </c>
      <c r="M1328" t="s">
        <v>2665</v>
      </c>
    </row>
    <row r="1329" spans="1:13" x14ac:dyDescent="0.35">
      <c r="A1329">
        <v>0</v>
      </c>
      <c r="B1329">
        <v>2850</v>
      </c>
      <c r="C1329" t="s">
        <v>602</v>
      </c>
      <c r="D1329" t="s">
        <v>1301</v>
      </c>
      <c r="E1329" t="s">
        <v>2666</v>
      </c>
      <c r="F1329">
        <v>7076</v>
      </c>
      <c r="I1329">
        <v>122</v>
      </c>
      <c r="J1329">
        <v>121</v>
      </c>
      <c r="M1329" t="s">
        <v>2666</v>
      </c>
    </row>
    <row r="1330" spans="1:13" x14ac:dyDescent="0.35">
      <c r="A1330">
        <v>101388</v>
      </c>
      <c r="B1330">
        <v>1013</v>
      </c>
      <c r="C1330" t="s">
        <v>602</v>
      </c>
      <c r="D1330" t="s">
        <v>962</v>
      </c>
      <c r="E1330" t="s">
        <v>2667</v>
      </c>
      <c r="F1330">
        <v>3484</v>
      </c>
      <c r="G1330">
        <v>219799</v>
      </c>
      <c r="H1330" t="s">
        <v>964</v>
      </c>
      <c r="I1330">
        <v>122</v>
      </c>
      <c r="J1330">
        <v>122</v>
      </c>
      <c r="K1330" t="s">
        <v>1051</v>
      </c>
      <c r="L1330" t="s">
        <v>980</v>
      </c>
      <c r="M1330" t="s">
        <v>2668</v>
      </c>
    </row>
    <row r="1331" spans="1:13" x14ac:dyDescent="0.35">
      <c r="A1331">
        <v>102068</v>
      </c>
      <c r="B1331">
        <v>1378</v>
      </c>
      <c r="C1331" t="s">
        <v>602</v>
      </c>
      <c r="D1331" t="s">
        <v>1066</v>
      </c>
      <c r="E1331" t="s">
        <v>2669</v>
      </c>
      <c r="F1331">
        <v>4166664</v>
      </c>
      <c r="G1331">
        <v>220501</v>
      </c>
      <c r="H1331" t="s">
        <v>964</v>
      </c>
      <c r="I1331">
        <v>121</v>
      </c>
      <c r="J1331">
        <v>125</v>
      </c>
      <c r="K1331" t="s">
        <v>1068</v>
      </c>
      <c r="L1331" t="s">
        <v>965</v>
      </c>
      <c r="M1331" t="s">
        <v>2670</v>
      </c>
    </row>
    <row r="1332" spans="1:13" x14ac:dyDescent="0.35">
      <c r="A1332">
        <v>0</v>
      </c>
      <c r="B1332">
        <v>2849</v>
      </c>
      <c r="C1332" t="s">
        <v>602</v>
      </c>
      <c r="D1332" t="s">
        <v>1301</v>
      </c>
      <c r="E1332" t="s">
        <v>2671</v>
      </c>
      <c r="F1332">
        <v>7075</v>
      </c>
      <c r="I1332">
        <v>121</v>
      </c>
      <c r="J1332">
        <v>120</v>
      </c>
      <c r="M1332" t="s">
        <v>2671</v>
      </c>
    </row>
    <row r="1333" spans="1:13" x14ac:dyDescent="0.35">
      <c r="A1333">
        <v>101594</v>
      </c>
      <c r="B1333">
        <v>1187</v>
      </c>
      <c r="C1333" t="s">
        <v>602</v>
      </c>
      <c r="D1333" t="s">
        <v>962</v>
      </c>
      <c r="E1333" t="s">
        <v>2672</v>
      </c>
      <c r="F1333">
        <v>4556</v>
      </c>
      <c r="G1333">
        <v>222757</v>
      </c>
      <c r="H1333" t="s">
        <v>964</v>
      </c>
      <c r="I1333">
        <v>121</v>
      </c>
      <c r="J1333">
        <v>121</v>
      </c>
      <c r="K1333" t="s">
        <v>979</v>
      </c>
      <c r="L1333" t="s">
        <v>965</v>
      </c>
      <c r="M1333" t="s">
        <v>2673</v>
      </c>
    </row>
    <row r="1334" spans="1:13" x14ac:dyDescent="0.35">
      <c r="A1334">
        <v>101383</v>
      </c>
      <c r="B1334">
        <v>1008</v>
      </c>
      <c r="C1334" t="s">
        <v>602</v>
      </c>
      <c r="D1334" t="s">
        <v>962</v>
      </c>
      <c r="E1334" t="s">
        <v>2674</v>
      </c>
      <c r="F1334">
        <v>3443</v>
      </c>
      <c r="G1334">
        <v>219773</v>
      </c>
      <c r="H1334" t="s">
        <v>964</v>
      </c>
      <c r="I1334">
        <v>120</v>
      </c>
      <c r="J1334">
        <v>120</v>
      </c>
      <c r="K1334" t="s">
        <v>1051</v>
      </c>
      <c r="L1334" t="s">
        <v>965</v>
      </c>
      <c r="M1334" t="s">
        <v>2675</v>
      </c>
    </row>
    <row r="1335" spans="1:13" x14ac:dyDescent="0.35">
      <c r="A1335">
        <v>102085</v>
      </c>
      <c r="B1335">
        <v>1389</v>
      </c>
      <c r="C1335" t="s">
        <v>602</v>
      </c>
      <c r="D1335" t="s">
        <v>1066</v>
      </c>
      <c r="E1335" t="s">
        <v>2676</v>
      </c>
      <c r="F1335">
        <v>4166568</v>
      </c>
      <c r="G1335">
        <v>217659</v>
      </c>
      <c r="H1335" t="s">
        <v>964</v>
      </c>
      <c r="I1335">
        <v>120</v>
      </c>
      <c r="J1335">
        <v>124</v>
      </c>
      <c r="K1335" t="s">
        <v>1068</v>
      </c>
      <c r="L1335" t="s">
        <v>980</v>
      </c>
      <c r="M1335" t="s">
        <v>2677</v>
      </c>
    </row>
    <row r="1336" spans="1:13" x14ac:dyDescent="0.35">
      <c r="A1336">
        <v>0</v>
      </c>
      <c r="B1336">
        <v>2848</v>
      </c>
      <c r="C1336" t="s">
        <v>602</v>
      </c>
      <c r="D1336" t="s">
        <v>1301</v>
      </c>
      <c r="E1336" t="s">
        <v>2678</v>
      </c>
      <c r="F1336">
        <v>7074</v>
      </c>
      <c r="I1336">
        <v>120</v>
      </c>
      <c r="J1336">
        <v>119</v>
      </c>
      <c r="M1336" t="s">
        <v>2678</v>
      </c>
    </row>
    <row r="1337" spans="1:13" x14ac:dyDescent="0.35">
      <c r="A1337">
        <v>104161</v>
      </c>
      <c r="B1337">
        <v>1683</v>
      </c>
      <c r="C1337" t="s">
        <v>597</v>
      </c>
      <c r="D1337" t="s">
        <v>1066</v>
      </c>
      <c r="E1337" t="s">
        <v>2679</v>
      </c>
      <c r="F1337">
        <v>4166580</v>
      </c>
      <c r="G1337">
        <v>226807</v>
      </c>
      <c r="I1337">
        <v>119</v>
      </c>
      <c r="J1337">
        <v>123</v>
      </c>
      <c r="M1337" t="s">
        <v>2680</v>
      </c>
    </row>
    <row r="1338" spans="1:13" x14ac:dyDescent="0.35">
      <c r="A1338">
        <v>0</v>
      </c>
      <c r="B1338">
        <v>2847</v>
      </c>
      <c r="C1338" t="s">
        <v>602</v>
      </c>
      <c r="D1338" t="s">
        <v>1301</v>
      </c>
      <c r="E1338" t="s">
        <v>2681</v>
      </c>
      <c r="F1338">
        <v>7073</v>
      </c>
      <c r="I1338">
        <v>119</v>
      </c>
      <c r="J1338">
        <v>118</v>
      </c>
      <c r="M1338" t="s">
        <v>2681</v>
      </c>
    </row>
    <row r="1339" spans="1:13" x14ac:dyDescent="0.35">
      <c r="A1339">
        <v>101337</v>
      </c>
      <c r="B1339">
        <v>972</v>
      </c>
      <c r="C1339" t="s">
        <v>602</v>
      </c>
      <c r="D1339" t="s">
        <v>962</v>
      </c>
      <c r="E1339" t="s">
        <v>2682</v>
      </c>
      <c r="F1339">
        <v>3414</v>
      </c>
      <c r="G1339">
        <v>219774</v>
      </c>
      <c r="H1339" t="s">
        <v>964</v>
      </c>
      <c r="I1339">
        <v>119</v>
      </c>
      <c r="J1339">
        <v>119</v>
      </c>
      <c r="K1339" t="s">
        <v>979</v>
      </c>
      <c r="L1339" t="s">
        <v>965</v>
      </c>
      <c r="M1339" t="s">
        <v>2683</v>
      </c>
    </row>
    <row r="1340" spans="1:13" x14ac:dyDescent="0.35">
      <c r="A1340">
        <v>101430</v>
      </c>
      <c r="B1340">
        <v>1044</v>
      </c>
      <c r="C1340" t="s">
        <v>602</v>
      </c>
      <c r="D1340" t="s">
        <v>962</v>
      </c>
      <c r="E1340" t="s">
        <v>2684</v>
      </c>
      <c r="F1340">
        <v>3497</v>
      </c>
      <c r="G1340">
        <v>220433</v>
      </c>
      <c r="H1340" t="s">
        <v>964</v>
      </c>
      <c r="I1340">
        <v>118</v>
      </c>
      <c r="J1340">
        <v>118</v>
      </c>
      <c r="K1340" t="s">
        <v>1051</v>
      </c>
      <c r="L1340" t="s">
        <v>980</v>
      </c>
      <c r="M1340" t="s">
        <v>2685</v>
      </c>
    </row>
    <row r="1341" spans="1:13" x14ac:dyDescent="0.35">
      <c r="A1341">
        <v>0</v>
      </c>
      <c r="B1341">
        <v>2846</v>
      </c>
      <c r="C1341" t="s">
        <v>602</v>
      </c>
      <c r="D1341" t="s">
        <v>1301</v>
      </c>
      <c r="E1341" t="s">
        <v>2686</v>
      </c>
      <c r="F1341">
        <v>7072</v>
      </c>
      <c r="I1341">
        <v>118</v>
      </c>
      <c r="J1341">
        <v>117</v>
      </c>
      <c r="M1341" t="s">
        <v>2686</v>
      </c>
    </row>
    <row r="1342" spans="1:13" x14ac:dyDescent="0.35">
      <c r="A1342">
        <v>104163</v>
      </c>
      <c r="B1342">
        <v>1685</v>
      </c>
      <c r="C1342" t="s">
        <v>602</v>
      </c>
      <c r="D1342" t="s">
        <v>1066</v>
      </c>
      <c r="E1342" t="s">
        <v>2687</v>
      </c>
      <c r="F1342">
        <v>4166579</v>
      </c>
      <c r="G1342">
        <v>226805</v>
      </c>
      <c r="H1342" t="s">
        <v>964</v>
      </c>
      <c r="I1342">
        <v>118</v>
      </c>
      <c r="J1342">
        <v>122</v>
      </c>
      <c r="K1342" t="s">
        <v>1068</v>
      </c>
      <c r="L1342" t="s">
        <v>1581</v>
      </c>
      <c r="M1342" t="s">
        <v>2688</v>
      </c>
    </row>
    <row r="1343" spans="1:13" x14ac:dyDescent="0.35">
      <c r="A1343">
        <v>101540</v>
      </c>
      <c r="B1343">
        <v>1134</v>
      </c>
      <c r="C1343" t="s">
        <v>602</v>
      </c>
      <c r="D1343" t="s">
        <v>962</v>
      </c>
      <c r="E1343" t="s">
        <v>2689</v>
      </c>
      <c r="F1343">
        <v>3758</v>
      </c>
      <c r="G1343">
        <v>221912</v>
      </c>
      <c r="H1343" t="s">
        <v>964</v>
      </c>
      <c r="I1343">
        <v>117</v>
      </c>
      <c r="J1343">
        <v>117</v>
      </c>
      <c r="K1343" t="s">
        <v>979</v>
      </c>
      <c r="L1343" t="s">
        <v>965</v>
      </c>
      <c r="M1343" t="s">
        <v>2690</v>
      </c>
    </row>
    <row r="1344" spans="1:13" x14ac:dyDescent="0.35">
      <c r="A1344">
        <v>103396</v>
      </c>
      <c r="B1344">
        <v>1544</v>
      </c>
      <c r="C1344" t="s">
        <v>602</v>
      </c>
      <c r="D1344" t="s">
        <v>1066</v>
      </c>
      <c r="E1344" t="s">
        <v>2691</v>
      </c>
      <c r="F1344">
        <v>4166559</v>
      </c>
      <c r="G1344">
        <v>217646</v>
      </c>
      <c r="H1344" t="s">
        <v>964</v>
      </c>
      <c r="I1344">
        <v>117</v>
      </c>
      <c r="J1344">
        <v>121</v>
      </c>
      <c r="K1344" t="s">
        <v>1068</v>
      </c>
      <c r="L1344" t="s">
        <v>965</v>
      </c>
      <c r="M1344" t="s">
        <v>2692</v>
      </c>
    </row>
    <row r="1345" spans="1:13" x14ac:dyDescent="0.35">
      <c r="A1345">
        <v>0</v>
      </c>
      <c r="B1345">
        <v>2845</v>
      </c>
      <c r="C1345" t="s">
        <v>602</v>
      </c>
      <c r="D1345" t="s">
        <v>1301</v>
      </c>
      <c r="E1345" t="s">
        <v>2693</v>
      </c>
      <c r="F1345">
        <v>7071</v>
      </c>
      <c r="I1345">
        <v>117</v>
      </c>
      <c r="J1345">
        <v>116</v>
      </c>
      <c r="M1345" t="s">
        <v>2693</v>
      </c>
    </row>
    <row r="1346" spans="1:13" x14ac:dyDescent="0.35">
      <c r="A1346">
        <v>102065</v>
      </c>
      <c r="B1346">
        <v>1375</v>
      </c>
      <c r="C1346" t="s">
        <v>602</v>
      </c>
      <c r="D1346" t="s">
        <v>1066</v>
      </c>
      <c r="E1346" t="s">
        <v>2694</v>
      </c>
      <c r="F1346">
        <v>4166558</v>
      </c>
      <c r="G1346">
        <v>217644</v>
      </c>
      <c r="H1346" t="s">
        <v>964</v>
      </c>
      <c r="I1346">
        <v>116</v>
      </c>
      <c r="J1346">
        <v>120</v>
      </c>
      <c r="K1346" t="s">
        <v>1068</v>
      </c>
      <c r="L1346" t="s">
        <v>965</v>
      </c>
      <c r="M1346" t="s">
        <v>2695</v>
      </c>
    </row>
    <row r="1347" spans="1:13" x14ac:dyDescent="0.35">
      <c r="A1347">
        <v>101257</v>
      </c>
      <c r="B1347">
        <v>959</v>
      </c>
      <c r="C1347" t="s">
        <v>602</v>
      </c>
      <c r="D1347" t="s">
        <v>962</v>
      </c>
      <c r="E1347" t="s">
        <v>2696</v>
      </c>
      <c r="F1347">
        <v>3451</v>
      </c>
      <c r="G1347">
        <v>219660</v>
      </c>
      <c r="H1347" t="s">
        <v>964</v>
      </c>
      <c r="I1347">
        <v>116</v>
      </c>
      <c r="J1347">
        <v>116</v>
      </c>
      <c r="K1347" t="s">
        <v>979</v>
      </c>
      <c r="L1347" t="s">
        <v>965</v>
      </c>
      <c r="M1347" t="s">
        <v>2697</v>
      </c>
    </row>
    <row r="1348" spans="1:13" x14ac:dyDescent="0.35">
      <c r="A1348">
        <v>0</v>
      </c>
      <c r="B1348">
        <v>2844</v>
      </c>
      <c r="C1348" t="s">
        <v>602</v>
      </c>
      <c r="D1348" t="s">
        <v>1301</v>
      </c>
      <c r="E1348" t="s">
        <v>2698</v>
      </c>
      <c r="F1348">
        <v>7070</v>
      </c>
      <c r="I1348">
        <v>116</v>
      </c>
      <c r="J1348">
        <v>115</v>
      </c>
      <c r="M1348" t="s">
        <v>2698</v>
      </c>
    </row>
    <row r="1349" spans="1:13" x14ac:dyDescent="0.35">
      <c r="A1349">
        <v>103883</v>
      </c>
      <c r="B1349">
        <v>1226</v>
      </c>
      <c r="C1349" t="s">
        <v>602</v>
      </c>
      <c r="D1349" t="s">
        <v>962</v>
      </c>
      <c r="E1349" t="s">
        <v>2699</v>
      </c>
      <c r="F1349">
        <v>4965</v>
      </c>
      <c r="G1349">
        <v>225310</v>
      </c>
      <c r="H1349" t="s">
        <v>964</v>
      </c>
      <c r="I1349">
        <v>115</v>
      </c>
      <c r="J1349">
        <v>115</v>
      </c>
      <c r="K1349" t="s">
        <v>979</v>
      </c>
      <c r="L1349" t="s">
        <v>965</v>
      </c>
      <c r="M1349" t="s">
        <v>2700</v>
      </c>
    </row>
    <row r="1350" spans="1:13" x14ac:dyDescent="0.35">
      <c r="A1350">
        <v>102132</v>
      </c>
      <c r="B1350">
        <v>1422</v>
      </c>
      <c r="C1350" t="s">
        <v>602</v>
      </c>
      <c r="D1350" t="s">
        <v>1066</v>
      </c>
      <c r="E1350" t="s">
        <v>2701</v>
      </c>
      <c r="F1350">
        <v>4166679</v>
      </c>
      <c r="G1350">
        <v>220881</v>
      </c>
      <c r="H1350" t="s">
        <v>964</v>
      </c>
      <c r="I1350">
        <v>115</v>
      </c>
      <c r="J1350">
        <v>119</v>
      </c>
      <c r="K1350" t="s">
        <v>1068</v>
      </c>
      <c r="L1350" t="s">
        <v>965</v>
      </c>
      <c r="M1350" t="s">
        <v>2702</v>
      </c>
    </row>
    <row r="1351" spans="1:13" x14ac:dyDescent="0.35">
      <c r="A1351">
        <v>0</v>
      </c>
      <c r="B1351">
        <v>2843</v>
      </c>
      <c r="C1351" t="s">
        <v>602</v>
      </c>
      <c r="D1351" t="s">
        <v>1301</v>
      </c>
      <c r="E1351" t="s">
        <v>2703</v>
      </c>
      <c r="F1351">
        <v>7069</v>
      </c>
      <c r="I1351">
        <v>115</v>
      </c>
      <c r="J1351">
        <v>114</v>
      </c>
      <c r="M1351" t="s">
        <v>2703</v>
      </c>
    </row>
    <row r="1352" spans="1:13" x14ac:dyDescent="0.35">
      <c r="A1352">
        <v>104246</v>
      </c>
      <c r="B1352">
        <v>1271</v>
      </c>
      <c r="C1352" t="s">
        <v>602</v>
      </c>
      <c r="D1352" t="s">
        <v>962</v>
      </c>
      <c r="E1352" t="s">
        <v>2704</v>
      </c>
      <c r="F1352">
        <v>5478</v>
      </c>
      <c r="G1352">
        <v>227332</v>
      </c>
      <c r="H1352" t="s">
        <v>964</v>
      </c>
      <c r="I1352">
        <v>114</v>
      </c>
      <c r="J1352">
        <v>114</v>
      </c>
      <c r="K1352" t="s">
        <v>979</v>
      </c>
      <c r="L1352" t="s">
        <v>965</v>
      </c>
      <c r="M1352" t="s">
        <v>2705</v>
      </c>
    </row>
    <row r="1353" spans="1:13" x14ac:dyDescent="0.35">
      <c r="A1353">
        <v>0</v>
      </c>
      <c r="B1353">
        <v>2842</v>
      </c>
      <c r="C1353" t="s">
        <v>602</v>
      </c>
      <c r="D1353" t="s">
        <v>1301</v>
      </c>
      <c r="E1353" t="s">
        <v>2706</v>
      </c>
      <c r="F1353">
        <v>7068</v>
      </c>
      <c r="I1353">
        <v>114</v>
      </c>
      <c r="J1353">
        <v>113</v>
      </c>
      <c r="M1353" t="s">
        <v>2706</v>
      </c>
    </row>
    <row r="1354" spans="1:13" x14ac:dyDescent="0.35">
      <c r="A1354">
        <v>103438</v>
      </c>
      <c r="B1354">
        <v>1581</v>
      </c>
      <c r="C1354" t="s">
        <v>602</v>
      </c>
      <c r="D1354" t="s">
        <v>1066</v>
      </c>
      <c r="E1354" t="s">
        <v>2707</v>
      </c>
      <c r="F1354">
        <v>4166551</v>
      </c>
      <c r="G1354">
        <v>218781</v>
      </c>
      <c r="H1354" t="s">
        <v>964</v>
      </c>
      <c r="I1354">
        <v>114</v>
      </c>
      <c r="J1354">
        <v>118</v>
      </c>
      <c r="K1354" t="s">
        <v>1068</v>
      </c>
      <c r="L1354" t="s">
        <v>965</v>
      </c>
      <c r="M1354" t="s">
        <v>2708</v>
      </c>
    </row>
    <row r="1355" spans="1:13" x14ac:dyDescent="0.35">
      <c r="A1355">
        <v>0</v>
      </c>
      <c r="B1355">
        <v>2841</v>
      </c>
      <c r="C1355" t="s">
        <v>602</v>
      </c>
      <c r="D1355" t="s">
        <v>1301</v>
      </c>
      <c r="E1355" t="s">
        <v>2709</v>
      </c>
      <c r="F1355">
        <v>7067</v>
      </c>
      <c r="I1355">
        <v>113</v>
      </c>
      <c r="J1355">
        <v>112</v>
      </c>
      <c r="M1355" t="s">
        <v>2709</v>
      </c>
    </row>
    <row r="1356" spans="1:13" x14ac:dyDescent="0.35">
      <c r="A1356">
        <v>104173</v>
      </c>
      <c r="B1356">
        <v>1249</v>
      </c>
      <c r="C1356" t="s">
        <v>602</v>
      </c>
      <c r="D1356" t="s">
        <v>962</v>
      </c>
      <c r="E1356" t="s">
        <v>2710</v>
      </c>
      <c r="F1356">
        <v>5106</v>
      </c>
      <c r="G1356">
        <v>226838</v>
      </c>
      <c r="H1356" t="s">
        <v>964</v>
      </c>
      <c r="I1356">
        <v>113</v>
      </c>
      <c r="J1356">
        <v>113</v>
      </c>
      <c r="K1356" t="s">
        <v>979</v>
      </c>
      <c r="L1356" t="s">
        <v>965</v>
      </c>
      <c r="M1356" t="s">
        <v>2711</v>
      </c>
    </row>
    <row r="1357" spans="1:13" x14ac:dyDescent="0.35">
      <c r="A1357">
        <v>102102</v>
      </c>
      <c r="B1357">
        <v>1402</v>
      </c>
      <c r="C1357" t="s">
        <v>602</v>
      </c>
      <c r="D1357" t="s">
        <v>1066</v>
      </c>
      <c r="E1357" t="s">
        <v>2712</v>
      </c>
      <c r="F1357">
        <v>4166549</v>
      </c>
      <c r="G1357">
        <v>217661</v>
      </c>
      <c r="H1357" t="s">
        <v>964</v>
      </c>
      <c r="I1357">
        <v>113</v>
      </c>
      <c r="J1357">
        <v>117</v>
      </c>
      <c r="K1357" t="s">
        <v>1068</v>
      </c>
      <c r="L1357" t="s">
        <v>965</v>
      </c>
      <c r="M1357" t="s">
        <v>2713</v>
      </c>
    </row>
    <row r="1358" spans="1:13" x14ac:dyDescent="0.35">
      <c r="A1358">
        <v>101511</v>
      </c>
      <c r="B1358">
        <v>1106</v>
      </c>
      <c r="C1358" t="s">
        <v>602</v>
      </c>
      <c r="D1358" t="s">
        <v>962</v>
      </c>
      <c r="E1358" t="s">
        <v>2714</v>
      </c>
      <c r="F1358">
        <v>3731</v>
      </c>
      <c r="G1358">
        <v>221669</v>
      </c>
      <c r="H1358" t="s">
        <v>964</v>
      </c>
      <c r="I1358">
        <v>112</v>
      </c>
      <c r="J1358">
        <v>112</v>
      </c>
      <c r="K1358" t="s">
        <v>979</v>
      </c>
      <c r="L1358" t="s">
        <v>965</v>
      </c>
      <c r="M1358" t="s">
        <v>2715</v>
      </c>
    </row>
    <row r="1359" spans="1:13" x14ac:dyDescent="0.35">
      <c r="A1359">
        <v>0</v>
      </c>
      <c r="B1359">
        <v>2840</v>
      </c>
      <c r="C1359" t="s">
        <v>602</v>
      </c>
      <c r="D1359" t="s">
        <v>1301</v>
      </c>
      <c r="E1359" t="s">
        <v>2716</v>
      </c>
      <c r="F1359">
        <v>7066</v>
      </c>
      <c r="I1359">
        <v>112</v>
      </c>
      <c r="J1359">
        <v>111</v>
      </c>
      <c r="M1359" t="s">
        <v>2716</v>
      </c>
    </row>
    <row r="1360" spans="1:13" x14ac:dyDescent="0.35">
      <c r="A1360">
        <v>103476</v>
      </c>
      <c r="B1360">
        <v>1603</v>
      </c>
      <c r="C1360" t="s">
        <v>602</v>
      </c>
      <c r="D1360" t="s">
        <v>1066</v>
      </c>
      <c r="E1360" t="s">
        <v>2717</v>
      </c>
      <c r="F1360">
        <v>4166561</v>
      </c>
      <c r="G1360">
        <v>217698</v>
      </c>
      <c r="H1360" t="s">
        <v>964</v>
      </c>
      <c r="I1360">
        <v>112</v>
      </c>
      <c r="J1360">
        <v>116</v>
      </c>
      <c r="K1360" t="s">
        <v>1068</v>
      </c>
      <c r="L1360" t="s">
        <v>965</v>
      </c>
      <c r="M1360" t="s">
        <v>2718</v>
      </c>
    </row>
    <row r="1361" spans="1:13" x14ac:dyDescent="0.35">
      <c r="A1361">
        <v>103414</v>
      </c>
      <c r="B1361">
        <v>1704</v>
      </c>
      <c r="C1361" t="s">
        <v>602</v>
      </c>
      <c r="D1361" t="s">
        <v>1066</v>
      </c>
      <c r="E1361" t="s">
        <v>2719</v>
      </c>
      <c r="F1361">
        <v>4166681</v>
      </c>
      <c r="G1361">
        <v>220986</v>
      </c>
      <c r="H1361" t="s">
        <v>964</v>
      </c>
      <c r="I1361">
        <v>111</v>
      </c>
      <c r="J1361">
        <v>115</v>
      </c>
      <c r="K1361" t="s">
        <v>1068</v>
      </c>
      <c r="L1361" t="s">
        <v>965</v>
      </c>
      <c r="M1361" t="s">
        <v>2720</v>
      </c>
    </row>
    <row r="1362" spans="1:13" x14ac:dyDescent="0.35">
      <c r="A1362">
        <v>101328</v>
      </c>
      <c r="B1362">
        <v>965</v>
      </c>
      <c r="C1362" t="s">
        <v>602</v>
      </c>
      <c r="D1362" t="s">
        <v>962</v>
      </c>
      <c r="E1362" t="s">
        <v>2721</v>
      </c>
      <c r="F1362">
        <v>3447</v>
      </c>
      <c r="G1362">
        <v>219751</v>
      </c>
      <c r="H1362" t="s">
        <v>964</v>
      </c>
      <c r="I1362">
        <v>111</v>
      </c>
      <c r="J1362">
        <v>111</v>
      </c>
      <c r="K1362" t="s">
        <v>979</v>
      </c>
      <c r="L1362" t="s">
        <v>965</v>
      </c>
      <c r="M1362" t="s">
        <v>2722</v>
      </c>
    </row>
    <row r="1363" spans="1:13" x14ac:dyDescent="0.35">
      <c r="A1363">
        <v>0</v>
      </c>
      <c r="B1363">
        <v>2839</v>
      </c>
      <c r="C1363" t="s">
        <v>602</v>
      </c>
      <c r="D1363" t="s">
        <v>1301</v>
      </c>
      <c r="E1363" t="s">
        <v>2723</v>
      </c>
      <c r="F1363">
        <v>7065</v>
      </c>
      <c r="I1363">
        <v>111</v>
      </c>
      <c r="J1363">
        <v>110</v>
      </c>
      <c r="M1363" t="s">
        <v>2723</v>
      </c>
    </row>
    <row r="1364" spans="1:13" x14ac:dyDescent="0.35">
      <c r="A1364">
        <v>101477</v>
      </c>
      <c r="B1364">
        <v>1078</v>
      </c>
      <c r="C1364" t="s">
        <v>602</v>
      </c>
      <c r="D1364" t="s">
        <v>962</v>
      </c>
      <c r="E1364" t="s">
        <v>2724</v>
      </c>
      <c r="F1364">
        <v>3562</v>
      </c>
      <c r="G1364">
        <v>221265</v>
      </c>
      <c r="H1364" t="s">
        <v>964</v>
      </c>
      <c r="I1364">
        <v>110</v>
      </c>
      <c r="J1364">
        <v>110</v>
      </c>
      <c r="K1364" t="s">
        <v>979</v>
      </c>
      <c r="L1364" t="s">
        <v>965</v>
      </c>
      <c r="M1364" t="s">
        <v>2725</v>
      </c>
    </row>
    <row r="1365" spans="1:13" x14ac:dyDescent="0.35">
      <c r="A1365">
        <v>103382</v>
      </c>
      <c r="B1365">
        <v>1533</v>
      </c>
      <c r="C1365" t="s">
        <v>602</v>
      </c>
      <c r="D1365" t="s">
        <v>1066</v>
      </c>
      <c r="E1365" t="s">
        <v>2726</v>
      </c>
      <c r="F1365">
        <v>4166548</v>
      </c>
      <c r="G1365">
        <v>217679</v>
      </c>
      <c r="H1365" t="s">
        <v>964</v>
      </c>
      <c r="I1365">
        <v>110</v>
      </c>
      <c r="J1365">
        <v>114</v>
      </c>
      <c r="K1365" t="s">
        <v>1068</v>
      </c>
      <c r="L1365" t="s">
        <v>965</v>
      </c>
      <c r="M1365" t="s">
        <v>2727</v>
      </c>
    </row>
    <row r="1366" spans="1:13" x14ac:dyDescent="0.35">
      <c r="A1366">
        <v>0</v>
      </c>
      <c r="B1366">
        <v>2838</v>
      </c>
      <c r="C1366" t="s">
        <v>602</v>
      </c>
      <c r="D1366" t="s">
        <v>1301</v>
      </c>
      <c r="E1366" t="s">
        <v>2728</v>
      </c>
      <c r="F1366">
        <v>7064</v>
      </c>
      <c r="I1366">
        <v>110</v>
      </c>
      <c r="J1366">
        <v>109</v>
      </c>
      <c r="M1366" t="s">
        <v>2728</v>
      </c>
    </row>
    <row r="1367" spans="1:13" x14ac:dyDescent="0.35">
      <c r="A1367">
        <v>0</v>
      </c>
      <c r="B1367">
        <v>2837</v>
      </c>
      <c r="C1367" t="s">
        <v>602</v>
      </c>
      <c r="D1367" t="s">
        <v>1301</v>
      </c>
      <c r="E1367" t="s">
        <v>2729</v>
      </c>
      <c r="F1367">
        <v>7063</v>
      </c>
      <c r="I1367">
        <v>109</v>
      </c>
      <c r="J1367">
        <v>108</v>
      </c>
      <c r="M1367" t="s">
        <v>2729</v>
      </c>
    </row>
    <row r="1368" spans="1:13" x14ac:dyDescent="0.35">
      <c r="A1368">
        <v>103419</v>
      </c>
      <c r="B1368">
        <v>1564</v>
      </c>
      <c r="C1368" t="s">
        <v>602</v>
      </c>
      <c r="D1368" t="s">
        <v>1066</v>
      </c>
      <c r="E1368" t="s">
        <v>2730</v>
      </c>
      <c r="F1368">
        <v>4166646</v>
      </c>
      <c r="G1368">
        <v>220659</v>
      </c>
      <c r="H1368" t="s">
        <v>964</v>
      </c>
      <c r="I1368">
        <v>109</v>
      </c>
      <c r="J1368">
        <v>113</v>
      </c>
      <c r="K1368" t="s">
        <v>1068</v>
      </c>
      <c r="L1368" t="s">
        <v>980</v>
      </c>
      <c r="M1368" t="s">
        <v>2731</v>
      </c>
    </row>
    <row r="1369" spans="1:13" x14ac:dyDescent="0.35">
      <c r="A1369">
        <v>101361</v>
      </c>
      <c r="B1369">
        <v>990</v>
      </c>
      <c r="C1369" t="s">
        <v>602</v>
      </c>
      <c r="D1369" t="s">
        <v>962</v>
      </c>
      <c r="E1369" t="s">
        <v>2732</v>
      </c>
      <c r="F1369">
        <v>3446</v>
      </c>
      <c r="G1369">
        <v>219781</v>
      </c>
      <c r="H1369" t="s">
        <v>964</v>
      </c>
      <c r="I1369">
        <v>109</v>
      </c>
      <c r="J1369">
        <v>109</v>
      </c>
      <c r="K1369" t="s">
        <v>979</v>
      </c>
      <c r="L1369" t="s">
        <v>965</v>
      </c>
      <c r="M1369" t="s">
        <v>2733</v>
      </c>
    </row>
    <row r="1370" spans="1:13" x14ac:dyDescent="0.35">
      <c r="A1370">
        <v>0</v>
      </c>
      <c r="B1370">
        <v>2836</v>
      </c>
      <c r="C1370" t="s">
        <v>602</v>
      </c>
      <c r="D1370" t="s">
        <v>1301</v>
      </c>
      <c r="E1370" t="s">
        <v>2734</v>
      </c>
      <c r="F1370">
        <v>7062</v>
      </c>
      <c r="I1370">
        <v>108</v>
      </c>
      <c r="J1370">
        <v>107</v>
      </c>
      <c r="M1370" t="s">
        <v>2734</v>
      </c>
    </row>
    <row r="1371" spans="1:13" x14ac:dyDescent="0.35">
      <c r="A1371">
        <v>103423</v>
      </c>
      <c r="B1371">
        <v>1566</v>
      </c>
      <c r="C1371" t="s">
        <v>602</v>
      </c>
      <c r="D1371" t="s">
        <v>1066</v>
      </c>
      <c r="E1371" t="s">
        <v>2735</v>
      </c>
      <c r="F1371">
        <v>4166629</v>
      </c>
      <c r="G1371">
        <v>222722</v>
      </c>
      <c r="H1371" t="s">
        <v>964</v>
      </c>
      <c r="I1371">
        <v>108</v>
      </c>
      <c r="J1371">
        <v>112</v>
      </c>
      <c r="K1371" t="s">
        <v>1068</v>
      </c>
      <c r="L1371" t="s">
        <v>965</v>
      </c>
      <c r="M1371" t="s">
        <v>2736</v>
      </c>
    </row>
    <row r="1372" spans="1:13" x14ac:dyDescent="0.35">
      <c r="A1372">
        <v>101599</v>
      </c>
      <c r="B1372">
        <v>1192</v>
      </c>
      <c r="C1372" t="s">
        <v>602</v>
      </c>
      <c r="D1372" t="s">
        <v>962</v>
      </c>
      <c r="E1372" t="s">
        <v>2737</v>
      </c>
      <c r="F1372">
        <v>4633</v>
      </c>
      <c r="G1372">
        <v>222929</v>
      </c>
      <c r="H1372" t="s">
        <v>964</v>
      </c>
      <c r="I1372">
        <v>108</v>
      </c>
      <c r="J1372">
        <v>108</v>
      </c>
      <c r="K1372" t="s">
        <v>979</v>
      </c>
      <c r="L1372" t="s">
        <v>965</v>
      </c>
      <c r="M1372" t="s">
        <v>2738</v>
      </c>
    </row>
    <row r="1373" spans="1:13" x14ac:dyDescent="0.35">
      <c r="A1373">
        <v>0</v>
      </c>
      <c r="B1373">
        <v>2835</v>
      </c>
      <c r="C1373" t="s">
        <v>602</v>
      </c>
      <c r="D1373" t="s">
        <v>1301</v>
      </c>
      <c r="E1373" t="s">
        <v>2739</v>
      </c>
      <c r="F1373">
        <v>7061</v>
      </c>
      <c r="I1373">
        <v>107</v>
      </c>
      <c r="J1373">
        <v>106</v>
      </c>
      <c r="M1373" t="s">
        <v>2739</v>
      </c>
    </row>
    <row r="1374" spans="1:13" x14ac:dyDescent="0.35">
      <c r="A1374">
        <v>103490</v>
      </c>
      <c r="B1374">
        <v>1612</v>
      </c>
      <c r="C1374" t="s">
        <v>602</v>
      </c>
      <c r="D1374" t="s">
        <v>1066</v>
      </c>
      <c r="E1374" t="s">
        <v>2740</v>
      </c>
      <c r="F1374">
        <v>4166566</v>
      </c>
      <c r="G1374">
        <v>217599</v>
      </c>
      <c r="H1374" t="s">
        <v>964</v>
      </c>
      <c r="I1374">
        <v>107</v>
      </c>
      <c r="J1374">
        <v>111</v>
      </c>
      <c r="K1374" t="s">
        <v>1068</v>
      </c>
      <c r="L1374" t="s">
        <v>965</v>
      </c>
      <c r="M1374" t="s">
        <v>2741</v>
      </c>
    </row>
    <row r="1375" spans="1:13" x14ac:dyDescent="0.35">
      <c r="A1375">
        <v>106101</v>
      </c>
      <c r="B1375">
        <v>1895</v>
      </c>
      <c r="C1375" t="s">
        <v>602</v>
      </c>
      <c r="D1375" t="s">
        <v>2742</v>
      </c>
      <c r="E1375" t="s">
        <v>2743</v>
      </c>
      <c r="G1375">
        <v>156</v>
      </c>
      <c r="H1375" t="s">
        <v>964</v>
      </c>
      <c r="I1375">
        <v>107</v>
      </c>
      <c r="J1375">
        <v>110</v>
      </c>
      <c r="L1375" t="s">
        <v>965</v>
      </c>
      <c r="M1375" t="s">
        <v>2744</v>
      </c>
    </row>
    <row r="1376" spans="1:13" x14ac:dyDescent="0.35">
      <c r="A1376">
        <v>101468</v>
      </c>
      <c r="B1376">
        <v>1069</v>
      </c>
      <c r="C1376" t="s">
        <v>602</v>
      </c>
      <c r="D1376" t="s">
        <v>962</v>
      </c>
      <c r="E1376" t="s">
        <v>2745</v>
      </c>
      <c r="F1376">
        <v>3563</v>
      </c>
      <c r="G1376">
        <v>221246</v>
      </c>
      <c r="H1376" t="s">
        <v>964</v>
      </c>
      <c r="I1376">
        <v>107</v>
      </c>
      <c r="J1376">
        <v>107</v>
      </c>
      <c r="K1376" t="s">
        <v>1051</v>
      </c>
      <c r="L1376" t="s">
        <v>965</v>
      </c>
      <c r="M1376" t="s">
        <v>2746</v>
      </c>
    </row>
    <row r="1377" spans="1:13" x14ac:dyDescent="0.35">
      <c r="A1377">
        <v>104213</v>
      </c>
      <c r="B1377">
        <v>1259</v>
      </c>
      <c r="C1377" t="s">
        <v>602</v>
      </c>
      <c r="D1377" t="s">
        <v>962</v>
      </c>
      <c r="E1377" t="s">
        <v>2747</v>
      </c>
      <c r="F1377">
        <v>5346</v>
      </c>
      <c r="G1377">
        <v>227186</v>
      </c>
      <c r="H1377" t="s">
        <v>964</v>
      </c>
      <c r="I1377">
        <v>106</v>
      </c>
      <c r="J1377">
        <v>106</v>
      </c>
      <c r="K1377" t="s">
        <v>979</v>
      </c>
      <c r="L1377" t="s">
        <v>965</v>
      </c>
      <c r="M1377" t="s">
        <v>2748</v>
      </c>
    </row>
    <row r="1378" spans="1:13" x14ac:dyDescent="0.35">
      <c r="A1378">
        <v>0</v>
      </c>
      <c r="B1378">
        <v>2834</v>
      </c>
      <c r="C1378" t="s">
        <v>602</v>
      </c>
      <c r="D1378" t="s">
        <v>1301</v>
      </c>
      <c r="E1378" t="s">
        <v>2749</v>
      </c>
      <c r="F1378">
        <v>7060</v>
      </c>
      <c r="I1378">
        <v>106</v>
      </c>
      <c r="J1378">
        <v>105</v>
      </c>
      <c r="M1378" t="s">
        <v>2749</v>
      </c>
    </row>
    <row r="1379" spans="1:13" x14ac:dyDescent="0.35">
      <c r="A1379">
        <v>102110</v>
      </c>
      <c r="B1379">
        <v>1409</v>
      </c>
      <c r="C1379" t="s">
        <v>602</v>
      </c>
      <c r="D1379" t="s">
        <v>1066</v>
      </c>
      <c r="E1379" t="s">
        <v>2750</v>
      </c>
      <c r="F1379">
        <v>4166578</v>
      </c>
      <c r="G1379">
        <v>21810</v>
      </c>
      <c r="H1379" t="s">
        <v>964</v>
      </c>
      <c r="I1379">
        <v>106</v>
      </c>
      <c r="J1379">
        <v>110</v>
      </c>
      <c r="K1379" t="s">
        <v>1068</v>
      </c>
      <c r="L1379" t="s">
        <v>965</v>
      </c>
      <c r="M1379" t="s">
        <v>2751</v>
      </c>
    </row>
    <row r="1380" spans="1:13" x14ac:dyDescent="0.35">
      <c r="A1380">
        <v>104392</v>
      </c>
      <c r="B1380">
        <v>3387</v>
      </c>
      <c r="C1380" t="s">
        <v>602</v>
      </c>
      <c r="D1380" t="s">
        <v>1891</v>
      </c>
      <c r="E1380" t="s">
        <v>19</v>
      </c>
      <c r="G1380">
        <v>228664</v>
      </c>
      <c r="H1380" t="s">
        <v>964</v>
      </c>
      <c r="I1380">
        <v>106</v>
      </c>
      <c r="J1380">
        <v>109</v>
      </c>
      <c r="L1380" t="s">
        <v>1581</v>
      </c>
      <c r="M1380" t="s">
        <v>2752</v>
      </c>
    </row>
    <row r="1381" spans="1:13" x14ac:dyDescent="0.35">
      <c r="A1381">
        <v>0</v>
      </c>
      <c r="B1381">
        <v>2833</v>
      </c>
      <c r="C1381" t="s">
        <v>602</v>
      </c>
      <c r="D1381" t="s">
        <v>1301</v>
      </c>
      <c r="E1381" t="s">
        <v>2753</v>
      </c>
      <c r="F1381">
        <v>7059</v>
      </c>
      <c r="I1381">
        <v>105</v>
      </c>
      <c r="J1381">
        <v>104</v>
      </c>
      <c r="M1381" t="s">
        <v>2753</v>
      </c>
    </row>
    <row r="1382" spans="1:13" x14ac:dyDescent="0.35">
      <c r="A1382">
        <v>103385</v>
      </c>
      <c r="B1382">
        <v>1536</v>
      </c>
      <c r="C1382" t="s">
        <v>602</v>
      </c>
      <c r="D1382" t="s">
        <v>1066</v>
      </c>
      <c r="E1382" t="s">
        <v>2754</v>
      </c>
      <c r="F1382">
        <v>4166542</v>
      </c>
      <c r="G1382">
        <v>217601</v>
      </c>
      <c r="H1382" t="s">
        <v>964</v>
      </c>
      <c r="I1382">
        <v>105</v>
      </c>
      <c r="J1382">
        <v>109</v>
      </c>
      <c r="K1382" t="s">
        <v>1068</v>
      </c>
      <c r="L1382" t="s">
        <v>965</v>
      </c>
      <c r="M1382" t="s">
        <v>2755</v>
      </c>
    </row>
    <row r="1383" spans="1:13" x14ac:dyDescent="0.35">
      <c r="A1383">
        <v>0</v>
      </c>
      <c r="B1383">
        <v>3391</v>
      </c>
      <c r="C1383" t="s">
        <v>602</v>
      </c>
      <c r="D1383" t="s">
        <v>1891</v>
      </c>
      <c r="E1383" t="s">
        <v>2756</v>
      </c>
      <c r="G1383">
        <v>0</v>
      </c>
      <c r="H1383" t="s">
        <v>964</v>
      </c>
      <c r="I1383">
        <v>105</v>
      </c>
      <c r="J1383">
        <v>108</v>
      </c>
      <c r="L1383" t="s">
        <v>1581</v>
      </c>
      <c r="M1383" t="s">
        <v>2756</v>
      </c>
    </row>
    <row r="1384" spans="1:13" x14ac:dyDescent="0.35">
      <c r="A1384">
        <v>101389</v>
      </c>
      <c r="B1384">
        <v>1014</v>
      </c>
      <c r="C1384" t="s">
        <v>597</v>
      </c>
      <c r="D1384" t="s">
        <v>962</v>
      </c>
      <c r="E1384" t="s">
        <v>2757</v>
      </c>
      <c r="I1384">
        <v>105</v>
      </c>
      <c r="J1384">
        <v>105</v>
      </c>
    </row>
    <row r="1385" spans="1:13" x14ac:dyDescent="0.35">
      <c r="A1385">
        <v>0</v>
      </c>
      <c r="B1385">
        <v>2832</v>
      </c>
      <c r="C1385" t="s">
        <v>602</v>
      </c>
      <c r="D1385" t="s">
        <v>1301</v>
      </c>
      <c r="E1385" t="s">
        <v>2758</v>
      </c>
      <c r="F1385">
        <v>7058</v>
      </c>
      <c r="I1385">
        <v>104</v>
      </c>
      <c r="J1385">
        <v>103</v>
      </c>
      <c r="M1385" t="s">
        <v>2758</v>
      </c>
    </row>
    <row r="1386" spans="1:13" x14ac:dyDescent="0.35">
      <c r="A1386">
        <v>101502</v>
      </c>
      <c r="B1386">
        <v>1100</v>
      </c>
      <c r="C1386" t="s">
        <v>602</v>
      </c>
      <c r="D1386" t="s">
        <v>962</v>
      </c>
      <c r="E1386" t="s">
        <v>2759</v>
      </c>
      <c r="F1386">
        <v>3750</v>
      </c>
      <c r="G1386">
        <v>221559</v>
      </c>
      <c r="H1386" t="s">
        <v>964</v>
      </c>
      <c r="I1386">
        <v>104</v>
      </c>
      <c r="J1386">
        <v>104</v>
      </c>
      <c r="K1386" t="s">
        <v>979</v>
      </c>
      <c r="L1386" t="s">
        <v>980</v>
      </c>
      <c r="M1386" t="s">
        <v>2760</v>
      </c>
    </row>
    <row r="1387" spans="1:13" x14ac:dyDescent="0.35">
      <c r="A1387">
        <v>103352</v>
      </c>
      <c r="B1387">
        <v>1517</v>
      </c>
      <c r="C1387" t="s">
        <v>602</v>
      </c>
      <c r="D1387" t="s">
        <v>1066</v>
      </c>
      <c r="E1387" t="s">
        <v>2761</v>
      </c>
      <c r="F1387">
        <v>4166543</v>
      </c>
      <c r="G1387">
        <v>218776</v>
      </c>
      <c r="H1387" t="s">
        <v>964</v>
      </c>
      <c r="I1387">
        <v>104</v>
      </c>
      <c r="J1387">
        <v>108</v>
      </c>
      <c r="K1387" t="s">
        <v>1068</v>
      </c>
      <c r="L1387" t="s">
        <v>965</v>
      </c>
      <c r="M1387" t="s">
        <v>2762</v>
      </c>
    </row>
    <row r="1388" spans="1:13" x14ac:dyDescent="0.35">
      <c r="A1388">
        <v>103862</v>
      </c>
      <c r="B1388">
        <v>1661</v>
      </c>
      <c r="C1388" t="s">
        <v>602</v>
      </c>
      <c r="D1388" t="s">
        <v>1066</v>
      </c>
      <c r="E1388" t="s">
        <v>2763</v>
      </c>
      <c r="F1388">
        <v>4166524</v>
      </c>
      <c r="G1388">
        <v>225265</v>
      </c>
      <c r="H1388" t="s">
        <v>964</v>
      </c>
      <c r="I1388">
        <v>103</v>
      </c>
      <c r="J1388">
        <v>107</v>
      </c>
      <c r="K1388" t="s">
        <v>1068</v>
      </c>
      <c r="L1388" t="s">
        <v>965</v>
      </c>
      <c r="M1388" t="s">
        <v>2764</v>
      </c>
    </row>
    <row r="1389" spans="1:13" x14ac:dyDescent="0.35">
      <c r="A1389">
        <v>104169</v>
      </c>
      <c r="B1389">
        <v>1246</v>
      </c>
      <c r="C1389" t="s">
        <v>602</v>
      </c>
      <c r="D1389" t="s">
        <v>962</v>
      </c>
      <c r="E1389" t="s">
        <v>2765</v>
      </c>
      <c r="F1389">
        <v>5176</v>
      </c>
      <c r="G1389">
        <v>226826</v>
      </c>
      <c r="H1389" t="s">
        <v>964</v>
      </c>
      <c r="I1389">
        <v>103</v>
      </c>
      <c r="J1389">
        <v>103</v>
      </c>
      <c r="K1389" t="s">
        <v>979</v>
      </c>
      <c r="L1389" t="s">
        <v>980</v>
      </c>
      <c r="M1389" t="s">
        <v>2766</v>
      </c>
    </row>
    <row r="1390" spans="1:13" x14ac:dyDescent="0.35">
      <c r="A1390">
        <v>0</v>
      </c>
      <c r="B1390">
        <v>2831</v>
      </c>
      <c r="C1390" t="s">
        <v>602</v>
      </c>
      <c r="D1390" t="s">
        <v>1301</v>
      </c>
      <c r="E1390" t="s">
        <v>2767</v>
      </c>
      <c r="F1390">
        <v>7057</v>
      </c>
      <c r="I1390">
        <v>103</v>
      </c>
      <c r="J1390">
        <v>102</v>
      </c>
      <c r="M1390" t="s">
        <v>2767</v>
      </c>
    </row>
    <row r="1391" spans="1:13" x14ac:dyDescent="0.35">
      <c r="A1391">
        <v>0</v>
      </c>
      <c r="B1391">
        <v>3392</v>
      </c>
      <c r="C1391" t="s">
        <v>602</v>
      </c>
      <c r="D1391" t="s">
        <v>2742</v>
      </c>
      <c r="E1391" t="s">
        <v>2768</v>
      </c>
      <c r="G1391">
        <v>0</v>
      </c>
      <c r="H1391" t="s">
        <v>964</v>
      </c>
      <c r="I1391">
        <v>103</v>
      </c>
      <c r="J1391">
        <v>106</v>
      </c>
      <c r="M1391" t="s">
        <v>2768</v>
      </c>
    </row>
    <row r="1392" spans="1:13" x14ac:dyDescent="0.35">
      <c r="A1392">
        <v>0</v>
      </c>
      <c r="B1392">
        <v>3393</v>
      </c>
      <c r="C1392" t="s">
        <v>602</v>
      </c>
      <c r="D1392" t="s">
        <v>1336</v>
      </c>
      <c r="E1392" t="s">
        <v>2769</v>
      </c>
      <c r="G1392">
        <v>0</v>
      </c>
      <c r="H1392" t="s">
        <v>964</v>
      </c>
      <c r="I1392">
        <v>102</v>
      </c>
      <c r="J1392">
        <v>105</v>
      </c>
      <c r="M1392" t="s">
        <v>2769</v>
      </c>
    </row>
    <row r="1393" spans="1:13" x14ac:dyDescent="0.35">
      <c r="A1393">
        <v>101377</v>
      </c>
      <c r="B1393">
        <v>1003</v>
      </c>
      <c r="C1393" t="s">
        <v>602</v>
      </c>
      <c r="D1393" t="s">
        <v>962</v>
      </c>
      <c r="E1393" t="s">
        <v>2770</v>
      </c>
      <c r="F1393">
        <v>3412</v>
      </c>
      <c r="G1393">
        <v>219786</v>
      </c>
      <c r="H1393" t="s">
        <v>964</v>
      </c>
      <c r="I1393">
        <v>102</v>
      </c>
      <c r="J1393">
        <v>102</v>
      </c>
      <c r="K1393" t="s">
        <v>1051</v>
      </c>
      <c r="L1393" t="s">
        <v>965</v>
      </c>
      <c r="M1393" t="s">
        <v>2771</v>
      </c>
    </row>
    <row r="1394" spans="1:13" x14ac:dyDescent="0.35">
      <c r="A1394">
        <v>0</v>
      </c>
      <c r="B1394">
        <v>2830</v>
      </c>
      <c r="C1394" t="s">
        <v>602</v>
      </c>
      <c r="D1394" t="s">
        <v>1301</v>
      </c>
      <c r="E1394" t="s">
        <v>2772</v>
      </c>
      <c r="F1394">
        <v>7056</v>
      </c>
      <c r="I1394">
        <v>102</v>
      </c>
      <c r="J1394">
        <v>101</v>
      </c>
      <c r="M1394" t="s">
        <v>2772</v>
      </c>
    </row>
    <row r="1395" spans="1:13" x14ac:dyDescent="0.35">
      <c r="A1395">
        <v>102128</v>
      </c>
      <c r="B1395">
        <v>1419</v>
      </c>
      <c r="C1395" t="s">
        <v>602</v>
      </c>
      <c r="D1395" t="s">
        <v>1066</v>
      </c>
      <c r="E1395" t="s">
        <v>2773</v>
      </c>
      <c r="F1395">
        <v>4166575</v>
      </c>
      <c r="G1395">
        <v>23342</v>
      </c>
      <c r="H1395" t="s">
        <v>964</v>
      </c>
      <c r="I1395">
        <v>102</v>
      </c>
      <c r="J1395">
        <v>106</v>
      </c>
      <c r="K1395" t="s">
        <v>1068</v>
      </c>
      <c r="L1395" t="s">
        <v>965</v>
      </c>
      <c r="M1395" t="s">
        <v>2774</v>
      </c>
    </row>
    <row r="1396" spans="1:13" x14ac:dyDescent="0.35">
      <c r="A1396">
        <v>0</v>
      </c>
      <c r="B1396">
        <v>2829</v>
      </c>
      <c r="C1396" t="s">
        <v>602</v>
      </c>
      <c r="D1396" t="s">
        <v>1301</v>
      </c>
      <c r="E1396" t="s">
        <v>2775</v>
      </c>
      <c r="F1396">
        <v>7055</v>
      </c>
      <c r="I1396">
        <v>101</v>
      </c>
      <c r="J1396">
        <v>100</v>
      </c>
      <c r="M1396" t="s">
        <v>2775</v>
      </c>
    </row>
    <row r="1397" spans="1:13" x14ac:dyDescent="0.35">
      <c r="A1397">
        <v>103877</v>
      </c>
      <c r="B1397">
        <v>1225</v>
      </c>
      <c r="C1397" t="s">
        <v>602</v>
      </c>
      <c r="D1397" t="s">
        <v>962</v>
      </c>
      <c r="E1397" t="s">
        <v>2776</v>
      </c>
      <c r="F1397">
        <v>4892</v>
      </c>
      <c r="G1397">
        <v>225300</v>
      </c>
      <c r="H1397" t="s">
        <v>964</v>
      </c>
      <c r="I1397">
        <v>101</v>
      </c>
      <c r="J1397">
        <v>101</v>
      </c>
      <c r="K1397" t="s">
        <v>979</v>
      </c>
      <c r="L1397" t="s">
        <v>965</v>
      </c>
      <c r="M1397" t="s">
        <v>2777</v>
      </c>
    </row>
    <row r="1398" spans="1:13" x14ac:dyDescent="0.35">
      <c r="A1398">
        <v>102069</v>
      </c>
      <c r="B1398">
        <v>1379</v>
      </c>
      <c r="C1398" t="s">
        <v>602</v>
      </c>
      <c r="D1398" t="s">
        <v>1066</v>
      </c>
      <c r="E1398" t="s">
        <v>2778</v>
      </c>
      <c r="F1398">
        <v>4166536</v>
      </c>
      <c r="G1398">
        <v>218773</v>
      </c>
      <c r="H1398" t="s">
        <v>964</v>
      </c>
      <c r="I1398">
        <v>101</v>
      </c>
      <c r="J1398">
        <v>105</v>
      </c>
      <c r="K1398" t="s">
        <v>1068</v>
      </c>
      <c r="L1398" t="s">
        <v>965</v>
      </c>
      <c r="M1398" t="s">
        <v>2779</v>
      </c>
    </row>
    <row r="1399" spans="1:13" x14ac:dyDescent="0.35">
      <c r="A1399">
        <v>0</v>
      </c>
      <c r="B1399">
        <v>2828</v>
      </c>
      <c r="C1399" t="s">
        <v>602</v>
      </c>
      <c r="D1399" t="s">
        <v>1301</v>
      </c>
      <c r="E1399" t="s">
        <v>2780</v>
      </c>
      <c r="F1399">
        <v>7054</v>
      </c>
      <c r="I1399">
        <v>100</v>
      </c>
      <c r="J1399">
        <v>99</v>
      </c>
      <c r="M1399" t="s">
        <v>2780</v>
      </c>
    </row>
    <row r="1400" spans="1:13" x14ac:dyDescent="0.35">
      <c r="A1400">
        <v>103399</v>
      </c>
      <c r="B1400">
        <v>1546</v>
      </c>
      <c r="C1400" t="s">
        <v>602</v>
      </c>
      <c r="D1400" t="s">
        <v>1066</v>
      </c>
      <c r="E1400" t="s">
        <v>2781</v>
      </c>
      <c r="F1400">
        <v>4166610</v>
      </c>
      <c r="G1400">
        <v>222709</v>
      </c>
      <c r="H1400" t="s">
        <v>964</v>
      </c>
      <c r="I1400">
        <v>100</v>
      </c>
      <c r="J1400">
        <v>104</v>
      </c>
      <c r="K1400" t="s">
        <v>1068</v>
      </c>
      <c r="L1400" t="s">
        <v>965</v>
      </c>
      <c r="M1400" t="s">
        <v>2782</v>
      </c>
    </row>
    <row r="1401" spans="1:13" x14ac:dyDescent="0.35">
      <c r="A1401">
        <v>101474</v>
      </c>
      <c r="B1401">
        <v>1075</v>
      </c>
      <c r="C1401" t="s">
        <v>602</v>
      </c>
      <c r="D1401" t="s">
        <v>962</v>
      </c>
      <c r="E1401" t="s">
        <v>2783</v>
      </c>
      <c r="F1401">
        <v>3551</v>
      </c>
      <c r="G1401">
        <v>221199</v>
      </c>
      <c r="H1401" t="s">
        <v>964</v>
      </c>
      <c r="I1401">
        <v>100</v>
      </c>
      <c r="J1401">
        <v>100</v>
      </c>
      <c r="K1401" t="s">
        <v>1051</v>
      </c>
      <c r="L1401" t="s">
        <v>980</v>
      </c>
      <c r="M1401" t="s">
        <v>2784</v>
      </c>
    </row>
    <row r="1402" spans="1:13" x14ac:dyDescent="0.35">
      <c r="A1402">
        <v>0</v>
      </c>
      <c r="B1402">
        <v>2827</v>
      </c>
      <c r="C1402" t="s">
        <v>602</v>
      </c>
      <c r="D1402" t="s">
        <v>1301</v>
      </c>
      <c r="E1402" t="s">
        <v>2785</v>
      </c>
      <c r="F1402">
        <v>7053</v>
      </c>
      <c r="I1402">
        <v>99</v>
      </c>
      <c r="J1402">
        <v>98</v>
      </c>
      <c r="M1402" t="s">
        <v>2785</v>
      </c>
    </row>
    <row r="1403" spans="1:13" x14ac:dyDescent="0.35">
      <c r="A1403">
        <v>0</v>
      </c>
      <c r="B1403">
        <v>3135</v>
      </c>
      <c r="C1403" t="s">
        <v>602</v>
      </c>
      <c r="D1403" t="s">
        <v>1243</v>
      </c>
      <c r="E1403" t="s">
        <v>2786</v>
      </c>
      <c r="F1403">
        <v>28</v>
      </c>
      <c r="G1403">
        <v>228734</v>
      </c>
      <c r="H1403" t="s">
        <v>964</v>
      </c>
      <c r="I1403">
        <v>99</v>
      </c>
      <c r="J1403">
        <v>102</v>
      </c>
      <c r="K1403" t="s">
        <v>1312</v>
      </c>
      <c r="M1403" t="s">
        <v>2787</v>
      </c>
    </row>
    <row r="1404" spans="1:13" x14ac:dyDescent="0.35">
      <c r="A1404">
        <v>103797</v>
      </c>
      <c r="B1404">
        <v>1218</v>
      </c>
      <c r="C1404" t="s">
        <v>602</v>
      </c>
      <c r="D1404" t="s">
        <v>962</v>
      </c>
      <c r="E1404" t="s">
        <v>2788</v>
      </c>
      <c r="F1404">
        <v>4638</v>
      </c>
      <c r="G1404">
        <v>225200</v>
      </c>
      <c r="H1404" t="s">
        <v>964</v>
      </c>
      <c r="I1404">
        <v>99</v>
      </c>
      <c r="J1404">
        <v>99</v>
      </c>
      <c r="K1404" t="s">
        <v>979</v>
      </c>
      <c r="L1404" t="s">
        <v>965</v>
      </c>
      <c r="M1404" t="s">
        <v>2789</v>
      </c>
    </row>
    <row r="1405" spans="1:13" x14ac:dyDescent="0.35">
      <c r="A1405">
        <v>102077</v>
      </c>
      <c r="B1405">
        <v>1384</v>
      </c>
      <c r="C1405" t="s">
        <v>602</v>
      </c>
      <c r="D1405" t="s">
        <v>1066</v>
      </c>
      <c r="E1405" t="s">
        <v>2790</v>
      </c>
      <c r="F1405">
        <v>4166576</v>
      </c>
      <c r="G1405">
        <v>220510</v>
      </c>
      <c r="H1405" t="s">
        <v>964</v>
      </c>
      <c r="I1405">
        <v>99</v>
      </c>
      <c r="J1405">
        <v>103</v>
      </c>
      <c r="K1405" t="s">
        <v>1068</v>
      </c>
      <c r="L1405" t="s">
        <v>965</v>
      </c>
      <c r="M1405" t="s">
        <v>2791</v>
      </c>
    </row>
    <row r="1406" spans="1:13" x14ac:dyDescent="0.35">
      <c r="A1406">
        <v>0</v>
      </c>
      <c r="B1406">
        <v>2826</v>
      </c>
      <c r="C1406" t="s">
        <v>602</v>
      </c>
      <c r="D1406" t="s">
        <v>1301</v>
      </c>
      <c r="E1406" t="s">
        <v>2792</v>
      </c>
      <c r="F1406">
        <v>7052</v>
      </c>
      <c r="I1406">
        <v>98</v>
      </c>
      <c r="J1406">
        <v>97</v>
      </c>
      <c r="M1406" t="s">
        <v>2792</v>
      </c>
    </row>
    <row r="1407" spans="1:13" x14ac:dyDescent="0.35">
      <c r="A1407">
        <v>102126</v>
      </c>
      <c r="B1407">
        <v>1417</v>
      </c>
      <c r="C1407" t="s">
        <v>602</v>
      </c>
      <c r="D1407" t="s">
        <v>1066</v>
      </c>
      <c r="E1407" t="s">
        <v>2793</v>
      </c>
      <c r="F1407">
        <v>4166562</v>
      </c>
      <c r="G1407">
        <v>217650</v>
      </c>
      <c r="H1407" t="s">
        <v>964</v>
      </c>
      <c r="I1407">
        <v>98</v>
      </c>
      <c r="J1407">
        <v>102</v>
      </c>
      <c r="K1407" t="s">
        <v>1068</v>
      </c>
      <c r="L1407" t="s">
        <v>965</v>
      </c>
      <c r="M1407" t="s">
        <v>2794</v>
      </c>
    </row>
    <row r="1408" spans="1:13" x14ac:dyDescent="0.35">
      <c r="A1408">
        <v>0</v>
      </c>
      <c r="B1408">
        <v>3377</v>
      </c>
      <c r="C1408" t="s">
        <v>602</v>
      </c>
      <c r="D1408" t="s">
        <v>1243</v>
      </c>
      <c r="E1408" t="s">
        <v>2795</v>
      </c>
      <c r="F1408">
        <v>48</v>
      </c>
      <c r="G1408">
        <v>228718</v>
      </c>
      <c r="H1408" t="s">
        <v>964</v>
      </c>
      <c r="I1408">
        <v>98</v>
      </c>
      <c r="J1408">
        <v>101</v>
      </c>
      <c r="K1408" t="s">
        <v>2796</v>
      </c>
      <c r="M1408" t="s">
        <v>2795</v>
      </c>
    </row>
    <row r="1409" spans="1:13" x14ac:dyDescent="0.35">
      <c r="A1409">
        <v>101526</v>
      </c>
      <c r="B1409">
        <v>1120</v>
      </c>
      <c r="C1409" t="s">
        <v>602</v>
      </c>
      <c r="D1409" t="s">
        <v>962</v>
      </c>
      <c r="E1409" t="s">
        <v>2797</v>
      </c>
      <c r="F1409">
        <v>3785</v>
      </c>
      <c r="G1409">
        <v>221789</v>
      </c>
      <c r="H1409" t="s">
        <v>964</v>
      </c>
      <c r="I1409">
        <v>98</v>
      </c>
      <c r="J1409">
        <v>98</v>
      </c>
      <c r="K1409" t="s">
        <v>979</v>
      </c>
      <c r="L1409" t="s">
        <v>965</v>
      </c>
      <c r="M1409" t="s">
        <v>2798</v>
      </c>
    </row>
    <row r="1410" spans="1:13" x14ac:dyDescent="0.35">
      <c r="A1410">
        <v>103348</v>
      </c>
      <c r="B1410">
        <v>1513</v>
      </c>
      <c r="C1410" t="s">
        <v>602</v>
      </c>
      <c r="D1410" t="s">
        <v>1066</v>
      </c>
      <c r="E1410" t="s">
        <v>2799</v>
      </c>
      <c r="F1410">
        <v>4166538</v>
      </c>
      <c r="G1410">
        <v>217673</v>
      </c>
      <c r="H1410" t="s">
        <v>964</v>
      </c>
      <c r="I1410">
        <v>97</v>
      </c>
      <c r="J1410">
        <v>101</v>
      </c>
      <c r="K1410" t="s">
        <v>1068</v>
      </c>
      <c r="L1410" t="s">
        <v>965</v>
      </c>
      <c r="M1410" t="s">
        <v>2800</v>
      </c>
    </row>
    <row r="1411" spans="1:13" x14ac:dyDescent="0.35">
      <c r="A1411">
        <v>0</v>
      </c>
      <c r="B1411">
        <v>3118</v>
      </c>
      <c r="C1411" t="s">
        <v>602</v>
      </c>
      <c r="D1411" t="s">
        <v>1243</v>
      </c>
      <c r="E1411" t="s">
        <v>2801</v>
      </c>
      <c r="F1411">
        <v>9</v>
      </c>
      <c r="G1411">
        <v>228752</v>
      </c>
      <c r="H1411" t="s">
        <v>964</v>
      </c>
      <c r="I1411">
        <v>97</v>
      </c>
      <c r="J1411">
        <v>100</v>
      </c>
      <c r="K1411" t="s">
        <v>2796</v>
      </c>
      <c r="M1411" t="s">
        <v>2801</v>
      </c>
    </row>
    <row r="1412" spans="1:13" x14ac:dyDescent="0.35">
      <c r="A1412">
        <v>104204</v>
      </c>
      <c r="B1412">
        <v>1257</v>
      </c>
      <c r="C1412" t="s">
        <v>602</v>
      </c>
      <c r="D1412" t="s">
        <v>962</v>
      </c>
      <c r="E1412" t="s">
        <v>2802</v>
      </c>
      <c r="F1412">
        <v>5323</v>
      </c>
      <c r="G1412">
        <v>227065</v>
      </c>
      <c r="H1412" t="s">
        <v>964</v>
      </c>
      <c r="I1412">
        <v>97</v>
      </c>
      <c r="J1412">
        <v>97</v>
      </c>
      <c r="K1412" t="s">
        <v>979</v>
      </c>
      <c r="L1412" t="s">
        <v>965</v>
      </c>
      <c r="M1412" t="s">
        <v>2803</v>
      </c>
    </row>
    <row r="1413" spans="1:13" x14ac:dyDescent="0.35">
      <c r="A1413">
        <v>0</v>
      </c>
      <c r="B1413">
        <v>2825</v>
      </c>
      <c r="C1413" t="s">
        <v>602</v>
      </c>
      <c r="D1413" t="s">
        <v>1301</v>
      </c>
      <c r="E1413" t="s">
        <v>2804</v>
      </c>
      <c r="F1413">
        <v>7051</v>
      </c>
      <c r="I1413">
        <v>97</v>
      </c>
      <c r="J1413">
        <v>96</v>
      </c>
      <c r="M1413" t="s">
        <v>2804</v>
      </c>
    </row>
    <row r="1414" spans="1:13" x14ac:dyDescent="0.35">
      <c r="A1414">
        <v>0</v>
      </c>
      <c r="B1414">
        <v>2824</v>
      </c>
      <c r="C1414" t="s">
        <v>602</v>
      </c>
      <c r="D1414" t="s">
        <v>1301</v>
      </c>
      <c r="E1414" t="s">
        <v>2805</v>
      </c>
      <c r="F1414">
        <v>7050</v>
      </c>
      <c r="I1414">
        <v>96</v>
      </c>
      <c r="J1414">
        <v>95</v>
      </c>
      <c r="M1414" t="s">
        <v>2805</v>
      </c>
    </row>
    <row r="1415" spans="1:13" x14ac:dyDescent="0.35">
      <c r="A1415">
        <v>101372</v>
      </c>
      <c r="B1415">
        <v>999</v>
      </c>
      <c r="C1415" t="s">
        <v>602</v>
      </c>
      <c r="D1415" t="s">
        <v>962</v>
      </c>
      <c r="E1415" t="s">
        <v>2806</v>
      </c>
      <c r="F1415">
        <v>3430</v>
      </c>
      <c r="G1415">
        <v>219784</v>
      </c>
      <c r="H1415" t="s">
        <v>964</v>
      </c>
      <c r="I1415">
        <v>96</v>
      </c>
      <c r="J1415">
        <v>96</v>
      </c>
      <c r="K1415" t="s">
        <v>1051</v>
      </c>
      <c r="L1415" t="s">
        <v>965</v>
      </c>
      <c r="M1415" t="s">
        <v>2807</v>
      </c>
    </row>
    <row r="1416" spans="1:13" x14ac:dyDescent="0.35">
      <c r="A1416">
        <v>0</v>
      </c>
      <c r="B1416">
        <v>3334</v>
      </c>
      <c r="C1416" t="s">
        <v>602</v>
      </c>
      <c r="D1416" t="s">
        <v>1243</v>
      </c>
      <c r="E1416" t="s">
        <v>2808</v>
      </c>
      <c r="F1416">
        <v>64</v>
      </c>
      <c r="G1416">
        <v>228707</v>
      </c>
      <c r="H1416" t="s">
        <v>964</v>
      </c>
      <c r="I1416">
        <v>96</v>
      </c>
      <c r="J1416">
        <v>99</v>
      </c>
      <c r="K1416" t="s">
        <v>1312</v>
      </c>
      <c r="M1416" t="s">
        <v>2808</v>
      </c>
    </row>
    <row r="1417" spans="1:13" x14ac:dyDescent="0.35">
      <c r="A1417">
        <v>103411</v>
      </c>
      <c r="B1417">
        <v>1558</v>
      </c>
      <c r="C1417" t="s">
        <v>602</v>
      </c>
      <c r="D1417" t="s">
        <v>1066</v>
      </c>
      <c r="E1417" t="s">
        <v>2809</v>
      </c>
      <c r="F1417">
        <v>4166644</v>
      </c>
      <c r="G1417">
        <v>220671</v>
      </c>
      <c r="H1417" t="s">
        <v>964</v>
      </c>
      <c r="I1417">
        <v>96</v>
      </c>
      <c r="J1417">
        <v>100</v>
      </c>
      <c r="K1417" t="s">
        <v>1068</v>
      </c>
      <c r="L1417" t="s">
        <v>965</v>
      </c>
      <c r="M1417" t="s">
        <v>2810</v>
      </c>
    </row>
    <row r="1418" spans="1:13" x14ac:dyDescent="0.35">
      <c r="A1418">
        <v>104171</v>
      </c>
      <c r="B1418">
        <v>1247</v>
      </c>
      <c r="C1418" t="s">
        <v>602</v>
      </c>
      <c r="D1418" t="s">
        <v>962</v>
      </c>
      <c r="E1418" t="s">
        <v>2811</v>
      </c>
      <c r="F1418">
        <v>5164</v>
      </c>
      <c r="G1418">
        <v>226835</v>
      </c>
      <c r="H1418" t="s">
        <v>964</v>
      </c>
      <c r="I1418">
        <v>95</v>
      </c>
      <c r="J1418">
        <v>95</v>
      </c>
      <c r="K1418" t="s">
        <v>979</v>
      </c>
      <c r="L1418" t="s">
        <v>965</v>
      </c>
      <c r="M1418" t="s">
        <v>2812</v>
      </c>
    </row>
    <row r="1419" spans="1:13" x14ac:dyDescent="0.35">
      <c r="A1419">
        <v>102064</v>
      </c>
      <c r="B1419">
        <v>1374</v>
      </c>
      <c r="C1419" t="s">
        <v>602</v>
      </c>
      <c r="D1419" t="s">
        <v>1066</v>
      </c>
      <c r="E1419" t="s">
        <v>2813</v>
      </c>
      <c r="F1419">
        <v>4166574</v>
      </c>
      <c r="G1419">
        <v>2209</v>
      </c>
      <c r="H1419" t="s">
        <v>964</v>
      </c>
      <c r="I1419">
        <v>95</v>
      </c>
      <c r="J1419">
        <v>99</v>
      </c>
      <c r="K1419" t="s">
        <v>1068</v>
      </c>
      <c r="L1419" t="s">
        <v>965</v>
      </c>
      <c r="M1419" t="s">
        <v>2814</v>
      </c>
    </row>
    <row r="1420" spans="1:13" x14ac:dyDescent="0.35">
      <c r="A1420">
        <v>0</v>
      </c>
      <c r="B1420">
        <v>3333</v>
      </c>
      <c r="C1420" t="s">
        <v>602</v>
      </c>
      <c r="D1420" t="s">
        <v>1243</v>
      </c>
      <c r="E1420" t="s">
        <v>2815</v>
      </c>
      <c r="F1420">
        <v>67</v>
      </c>
      <c r="G1420">
        <v>228705</v>
      </c>
      <c r="H1420" t="s">
        <v>964</v>
      </c>
      <c r="I1420">
        <v>95</v>
      </c>
      <c r="J1420">
        <v>98</v>
      </c>
      <c r="K1420" t="s">
        <v>1312</v>
      </c>
      <c r="M1420" t="s">
        <v>2815</v>
      </c>
    </row>
    <row r="1421" spans="1:13" x14ac:dyDescent="0.35">
      <c r="A1421">
        <v>0</v>
      </c>
      <c r="B1421">
        <v>2823</v>
      </c>
      <c r="C1421" t="s">
        <v>602</v>
      </c>
      <c r="D1421" t="s">
        <v>1301</v>
      </c>
      <c r="E1421" t="s">
        <v>2816</v>
      </c>
      <c r="F1421">
        <v>7049</v>
      </c>
      <c r="I1421">
        <v>95</v>
      </c>
      <c r="J1421">
        <v>94</v>
      </c>
      <c r="M1421" t="s">
        <v>2816</v>
      </c>
    </row>
    <row r="1422" spans="1:13" x14ac:dyDescent="0.35">
      <c r="A1422">
        <v>0</v>
      </c>
      <c r="B1422">
        <v>3335</v>
      </c>
      <c r="C1422" t="s">
        <v>602</v>
      </c>
      <c r="D1422" t="s">
        <v>1243</v>
      </c>
      <c r="E1422" t="s">
        <v>2817</v>
      </c>
      <c r="F1422">
        <v>69</v>
      </c>
      <c r="G1422">
        <v>228703</v>
      </c>
      <c r="H1422" t="s">
        <v>964</v>
      </c>
      <c r="I1422">
        <v>94</v>
      </c>
      <c r="J1422">
        <v>97</v>
      </c>
      <c r="K1422" t="s">
        <v>1312</v>
      </c>
      <c r="M1422" t="s">
        <v>2817</v>
      </c>
    </row>
    <row r="1423" spans="1:13" x14ac:dyDescent="0.35">
      <c r="A1423">
        <v>101293</v>
      </c>
      <c r="B1423">
        <v>1370</v>
      </c>
      <c r="C1423" t="s">
        <v>602</v>
      </c>
      <c r="D1423" t="s">
        <v>1066</v>
      </c>
      <c r="E1423" t="s">
        <v>2818</v>
      </c>
      <c r="F1423">
        <v>4166553</v>
      </c>
      <c r="G1423">
        <v>222828</v>
      </c>
      <c r="H1423" t="s">
        <v>964</v>
      </c>
      <c r="I1423">
        <v>94</v>
      </c>
      <c r="J1423">
        <v>98</v>
      </c>
      <c r="K1423" t="s">
        <v>1068</v>
      </c>
      <c r="L1423" t="s">
        <v>965</v>
      </c>
      <c r="M1423" t="s">
        <v>2819</v>
      </c>
    </row>
    <row r="1424" spans="1:13" x14ac:dyDescent="0.35">
      <c r="A1424">
        <v>0</v>
      </c>
      <c r="B1424">
        <v>2822</v>
      </c>
      <c r="C1424" t="s">
        <v>602</v>
      </c>
      <c r="D1424" t="s">
        <v>1301</v>
      </c>
      <c r="E1424" t="s">
        <v>2820</v>
      </c>
      <c r="F1424">
        <v>7048</v>
      </c>
      <c r="I1424">
        <v>94</v>
      </c>
      <c r="J1424">
        <v>93</v>
      </c>
      <c r="M1424" t="s">
        <v>2820</v>
      </c>
    </row>
    <row r="1425" spans="1:13" x14ac:dyDescent="0.35">
      <c r="A1425">
        <v>101521</v>
      </c>
      <c r="B1425">
        <v>1116</v>
      </c>
      <c r="C1425" t="s">
        <v>602</v>
      </c>
      <c r="D1425" t="s">
        <v>962</v>
      </c>
      <c r="E1425" t="s">
        <v>2821</v>
      </c>
      <c r="F1425">
        <v>3725</v>
      </c>
      <c r="G1425">
        <v>221757</v>
      </c>
      <c r="H1425" t="s">
        <v>964</v>
      </c>
      <c r="I1425">
        <v>94</v>
      </c>
      <c r="J1425">
        <v>94</v>
      </c>
      <c r="K1425" t="s">
        <v>1051</v>
      </c>
      <c r="L1425" t="s">
        <v>965</v>
      </c>
      <c r="M1425" t="s">
        <v>2822</v>
      </c>
    </row>
    <row r="1426" spans="1:13" x14ac:dyDescent="0.35">
      <c r="A1426">
        <v>0</v>
      </c>
      <c r="B1426">
        <v>2821</v>
      </c>
      <c r="C1426" t="s">
        <v>602</v>
      </c>
      <c r="D1426" t="s">
        <v>1301</v>
      </c>
      <c r="E1426" t="s">
        <v>2823</v>
      </c>
      <c r="F1426">
        <v>7047</v>
      </c>
      <c r="I1426">
        <v>93</v>
      </c>
      <c r="J1426">
        <v>92</v>
      </c>
      <c r="M1426" t="s">
        <v>2823</v>
      </c>
    </row>
    <row r="1427" spans="1:13" x14ac:dyDescent="0.35">
      <c r="A1427">
        <v>103515</v>
      </c>
      <c r="B1427">
        <v>1620</v>
      </c>
      <c r="C1427" t="s">
        <v>602</v>
      </c>
      <c r="D1427" t="s">
        <v>1066</v>
      </c>
      <c r="E1427" t="s">
        <v>2824</v>
      </c>
      <c r="F1427">
        <v>4166652</v>
      </c>
      <c r="G1427">
        <v>222867</v>
      </c>
      <c r="H1427" t="s">
        <v>964</v>
      </c>
      <c r="I1427">
        <v>93</v>
      </c>
      <c r="J1427">
        <v>97</v>
      </c>
      <c r="K1427" t="s">
        <v>1068</v>
      </c>
      <c r="L1427" t="s">
        <v>965</v>
      </c>
      <c r="M1427" t="s">
        <v>2825</v>
      </c>
    </row>
    <row r="1428" spans="1:13" x14ac:dyDescent="0.35">
      <c r="A1428">
        <v>0</v>
      </c>
      <c r="B1428">
        <v>3329</v>
      </c>
      <c r="C1428" t="s">
        <v>602</v>
      </c>
      <c r="D1428" t="s">
        <v>1243</v>
      </c>
      <c r="E1428" t="s">
        <v>2826</v>
      </c>
      <c r="F1428">
        <v>5</v>
      </c>
      <c r="G1428">
        <v>228755</v>
      </c>
      <c r="H1428" t="s">
        <v>964</v>
      </c>
      <c r="I1428">
        <v>93</v>
      </c>
      <c r="J1428">
        <v>96</v>
      </c>
      <c r="K1428" t="s">
        <v>1312</v>
      </c>
      <c r="M1428" t="s">
        <v>2826</v>
      </c>
    </row>
    <row r="1429" spans="1:13" x14ac:dyDescent="0.35">
      <c r="A1429">
        <v>101345</v>
      </c>
      <c r="B1429">
        <v>977</v>
      </c>
      <c r="C1429" t="s">
        <v>602</v>
      </c>
      <c r="D1429" t="s">
        <v>962</v>
      </c>
      <c r="E1429" t="s">
        <v>2827</v>
      </c>
      <c r="F1429">
        <v>3442</v>
      </c>
      <c r="G1429">
        <v>219742</v>
      </c>
      <c r="H1429" t="s">
        <v>964</v>
      </c>
      <c r="I1429">
        <v>93</v>
      </c>
      <c r="J1429">
        <v>93</v>
      </c>
      <c r="K1429" t="s">
        <v>979</v>
      </c>
      <c r="L1429" t="s">
        <v>965</v>
      </c>
      <c r="M1429" t="s">
        <v>2828</v>
      </c>
    </row>
    <row r="1430" spans="1:13" x14ac:dyDescent="0.35">
      <c r="A1430">
        <v>0</v>
      </c>
      <c r="B1430">
        <v>2820</v>
      </c>
      <c r="C1430" t="s">
        <v>602</v>
      </c>
      <c r="D1430" t="s">
        <v>1301</v>
      </c>
      <c r="E1430" t="s">
        <v>2829</v>
      </c>
      <c r="F1430">
        <v>7046</v>
      </c>
      <c r="I1430">
        <v>92</v>
      </c>
      <c r="J1430">
        <v>91</v>
      </c>
      <c r="M1430" t="s">
        <v>2829</v>
      </c>
    </row>
    <row r="1431" spans="1:13" x14ac:dyDescent="0.35">
      <c r="A1431">
        <v>103362</v>
      </c>
      <c r="B1431">
        <v>1523</v>
      </c>
      <c r="C1431" t="s">
        <v>602</v>
      </c>
      <c r="D1431" t="s">
        <v>1066</v>
      </c>
      <c r="E1431" t="s">
        <v>2830</v>
      </c>
      <c r="F1431">
        <v>4166539</v>
      </c>
      <c r="G1431">
        <v>217594</v>
      </c>
      <c r="H1431" t="s">
        <v>964</v>
      </c>
      <c r="I1431">
        <v>92</v>
      </c>
      <c r="J1431">
        <v>96</v>
      </c>
      <c r="K1431" t="s">
        <v>1068</v>
      </c>
      <c r="L1431" t="s">
        <v>965</v>
      </c>
      <c r="M1431" t="s">
        <v>2831</v>
      </c>
    </row>
    <row r="1432" spans="1:13" x14ac:dyDescent="0.35">
      <c r="A1432">
        <v>0</v>
      </c>
      <c r="B1432">
        <v>3332</v>
      </c>
      <c r="C1432" t="s">
        <v>602</v>
      </c>
      <c r="D1432" t="s">
        <v>1243</v>
      </c>
      <c r="E1432" t="s">
        <v>2832</v>
      </c>
      <c r="F1432">
        <v>72</v>
      </c>
      <c r="G1432">
        <v>229208</v>
      </c>
      <c r="H1432" t="s">
        <v>964</v>
      </c>
      <c r="I1432">
        <v>92</v>
      </c>
      <c r="J1432">
        <v>95</v>
      </c>
      <c r="K1432" t="s">
        <v>2796</v>
      </c>
      <c r="M1432" t="s">
        <v>2832</v>
      </c>
    </row>
    <row r="1433" spans="1:13" x14ac:dyDescent="0.35">
      <c r="A1433">
        <v>101484</v>
      </c>
      <c r="B1433">
        <v>1084</v>
      </c>
      <c r="C1433" t="s">
        <v>602</v>
      </c>
      <c r="D1433" t="s">
        <v>962</v>
      </c>
      <c r="E1433" t="s">
        <v>2833</v>
      </c>
      <c r="F1433">
        <v>3582</v>
      </c>
      <c r="G1433">
        <v>221336</v>
      </c>
      <c r="H1433" t="s">
        <v>964</v>
      </c>
      <c r="I1433">
        <v>92</v>
      </c>
      <c r="J1433">
        <v>92</v>
      </c>
      <c r="K1433" t="s">
        <v>1051</v>
      </c>
      <c r="L1433" t="s">
        <v>965</v>
      </c>
      <c r="M1433" t="s">
        <v>2834</v>
      </c>
    </row>
    <row r="1434" spans="1:13" x14ac:dyDescent="0.35">
      <c r="A1434">
        <v>101421</v>
      </c>
      <c r="B1434">
        <v>1036</v>
      </c>
      <c r="C1434" t="s">
        <v>602</v>
      </c>
      <c r="D1434" t="s">
        <v>962</v>
      </c>
      <c r="E1434" t="s">
        <v>2835</v>
      </c>
      <c r="F1434">
        <v>3495</v>
      </c>
      <c r="G1434">
        <v>220111</v>
      </c>
      <c r="H1434" t="s">
        <v>964</v>
      </c>
      <c r="I1434">
        <v>91</v>
      </c>
      <c r="J1434">
        <v>91</v>
      </c>
      <c r="K1434" t="s">
        <v>979</v>
      </c>
      <c r="L1434" t="s">
        <v>980</v>
      </c>
      <c r="M1434" t="s">
        <v>2836</v>
      </c>
    </row>
    <row r="1435" spans="1:13" x14ac:dyDescent="0.35">
      <c r="A1435">
        <v>0</v>
      </c>
      <c r="B1435">
        <v>2819</v>
      </c>
      <c r="C1435" t="s">
        <v>602</v>
      </c>
      <c r="D1435" t="s">
        <v>1301</v>
      </c>
      <c r="E1435" t="s">
        <v>2837</v>
      </c>
      <c r="F1435">
        <v>7045</v>
      </c>
      <c r="I1435">
        <v>91</v>
      </c>
      <c r="J1435">
        <v>90</v>
      </c>
      <c r="M1435" t="s">
        <v>2837</v>
      </c>
    </row>
    <row r="1436" spans="1:13" x14ac:dyDescent="0.35">
      <c r="A1436">
        <v>0</v>
      </c>
      <c r="B1436">
        <v>3235</v>
      </c>
      <c r="C1436" t="s">
        <v>602</v>
      </c>
      <c r="D1436" t="s">
        <v>2838</v>
      </c>
      <c r="E1436" t="s">
        <v>2839</v>
      </c>
      <c r="G1436">
        <v>0</v>
      </c>
      <c r="H1436" t="s">
        <v>964</v>
      </c>
      <c r="I1436">
        <v>91</v>
      </c>
      <c r="J1436">
        <v>94</v>
      </c>
      <c r="M1436" t="s">
        <v>2839</v>
      </c>
    </row>
    <row r="1437" spans="1:13" x14ac:dyDescent="0.35">
      <c r="A1437">
        <v>103576</v>
      </c>
      <c r="B1437">
        <v>1630</v>
      </c>
      <c r="C1437" t="s">
        <v>602</v>
      </c>
      <c r="D1437" t="s">
        <v>1066</v>
      </c>
      <c r="E1437" t="s">
        <v>2840</v>
      </c>
      <c r="F1437">
        <v>4166617</v>
      </c>
      <c r="G1437">
        <v>221036</v>
      </c>
      <c r="H1437" t="s">
        <v>964</v>
      </c>
      <c r="I1437">
        <v>91</v>
      </c>
      <c r="J1437">
        <v>95</v>
      </c>
      <c r="K1437" t="s">
        <v>1068</v>
      </c>
      <c r="L1437" t="s">
        <v>965</v>
      </c>
      <c r="M1437" t="s">
        <v>2841</v>
      </c>
    </row>
    <row r="1438" spans="1:13" x14ac:dyDescent="0.35">
      <c r="A1438">
        <v>0</v>
      </c>
      <c r="B1438">
        <v>2818</v>
      </c>
      <c r="C1438" t="s">
        <v>602</v>
      </c>
      <c r="D1438" t="s">
        <v>1301</v>
      </c>
      <c r="E1438" t="s">
        <v>2842</v>
      </c>
      <c r="F1438">
        <v>7044</v>
      </c>
      <c r="I1438">
        <v>90</v>
      </c>
      <c r="J1438">
        <v>89</v>
      </c>
      <c r="M1438" t="s">
        <v>2842</v>
      </c>
    </row>
    <row r="1439" spans="1:13" x14ac:dyDescent="0.35">
      <c r="A1439">
        <v>0</v>
      </c>
      <c r="B1439">
        <v>3234</v>
      </c>
      <c r="C1439" t="s">
        <v>602</v>
      </c>
      <c r="D1439" t="s">
        <v>2838</v>
      </c>
      <c r="E1439" t="s">
        <v>2843</v>
      </c>
      <c r="G1439">
        <v>0</v>
      </c>
      <c r="H1439" t="s">
        <v>964</v>
      </c>
      <c r="I1439">
        <v>90</v>
      </c>
      <c r="J1439">
        <v>93</v>
      </c>
      <c r="M1439" t="s">
        <v>2843</v>
      </c>
    </row>
    <row r="1440" spans="1:13" x14ac:dyDescent="0.35">
      <c r="A1440">
        <v>103455</v>
      </c>
      <c r="B1440">
        <v>1591</v>
      </c>
      <c r="C1440" t="s">
        <v>602</v>
      </c>
      <c r="D1440" t="s">
        <v>1066</v>
      </c>
      <c r="E1440" t="s">
        <v>2844</v>
      </c>
      <c r="F1440">
        <v>4166643</v>
      </c>
      <c r="G1440">
        <v>220775</v>
      </c>
      <c r="H1440" t="s">
        <v>964</v>
      </c>
      <c r="I1440">
        <v>90</v>
      </c>
      <c r="J1440">
        <v>94</v>
      </c>
      <c r="K1440" t="s">
        <v>1068</v>
      </c>
      <c r="L1440" t="s">
        <v>965</v>
      </c>
      <c r="M1440" t="s">
        <v>2845</v>
      </c>
    </row>
    <row r="1441" spans="1:13" x14ac:dyDescent="0.35">
      <c r="A1441">
        <v>101338</v>
      </c>
      <c r="B1441">
        <v>973</v>
      </c>
      <c r="C1441" t="s">
        <v>602</v>
      </c>
      <c r="D1441" t="s">
        <v>962</v>
      </c>
      <c r="E1441" t="s">
        <v>2846</v>
      </c>
      <c r="F1441">
        <v>3460</v>
      </c>
      <c r="G1441">
        <v>219738</v>
      </c>
      <c r="H1441" t="s">
        <v>964</v>
      </c>
      <c r="I1441">
        <v>90</v>
      </c>
      <c r="J1441">
        <v>90</v>
      </c>
      <c r="K1441" t="s">
        <v>979</v>
      </c>
      <c r="L1441" t="s">
        <v>965</v>
      </c>
      <c r="M1441" t="s">
        <v>2847</v>
      </c>
    </row>
    <row r="1442" spans="1:13" x14ac:dyDescent="0.35">
      <c r="A1442">
        <v>103709</v>
      </c>
      <c r="B1442">
        <v>1211</v>
      </c>
      <c r="C1442" t="s">
        <v>602</v>
      </c>
      <c r="D1442" t="s">
        <v>962</v>
      </c>
      <c r="E1442" t="s">
        <v>2848</v>
      </c>
      <c r="F1442">
        <v>4864</v>
      </c>
      <c r="G1442">
        <v>223208</v>
      </c>
      <c r="H1442" t="s">
        <v>964</v>
      </c>
      <c r="I1442">
        <v>89</v>
      </c>
      <c r="J1442">
        <v>89</v>
      </c>
      <c r="K1442" t="s">
        <v>979</v>
      </c>
      <c r="L1442" t="s">
        <v>965</v>
      </c>
      <c r="M1442" t="s">
        <v>2849</v>
      </c>
    </row>
    <row r="1443" spans="1:13" x14ac:dyDescent="0.35">
      <c r="A1443">
        <v>0</v>
      </c>
      <c r="B1443">
        <v>2817</v>
      </c>
      <c r="C1443" t="s">
        <v>602</v>
      </c>
      <c r="D1443" t="s">
        <v>1301</v>
      </c>
      <c r="E1443" t="s">
        <v>2850</v>
      </c>
      <c r="F1443">
        <v>7043</v>
      </c>
      <c r="I1443">
        <v>89</v>
      </c>
      <c r="J1443">
        <v>88</v>
      </c>
      <c r="M1443" t="s">
        <v>2850</v>
      </c>
    </row>
    <row r="1444" spans="1:13" x14ac:dyDescent="0.35">
      <c r="A1444">
        <v>101049</v>
      </c>
      <c r="B1444">
        <v>1364</v>
      </c>
      <c r="C1444" t="s">
        <v>602</v>
      </c>
      <c r="D1444" t="s">
        <v>1066</v>
      </c>
      <c r="E1444" t="s">
        <v>2851</v>
      </c>
      <c r="F1444">
        <v>4166621</v>
      </c>
      <c r="G1444">
        <v>217715</v>
      </c>
      <c r="H1444" t="s">
        <v>964</v>
      </c>
      <c r="I1444">
        <v>89</v>
      </c>
      <c r="J1444">
        <v>93</v>
      </c>
      <c r="K1444" t="s">
        <v>1068</v>
      </c>
      <c r="L1444" t="s">
        <v>965</v>
      </c>
      <c r="M1444" t="s">
        <v>2852</v>
      </c>
    </row>
    <row r="1445" spans="1:13" x14ac:dyDescent="0.35">
      <c r="A1445">
        <v>0</v>
      </c>
      <c r="B1445">
        <v>3374</v>
      </c>
      <c r="C1445" t="s">
        <v>1242</v>
      </c>
      <c r="D1445" t="s">
        <v>1243</v>
      </c>
      <c r="E1445" t="s">
        <v>2853</v>
      </c>
      <c r="F1445">
        <v>38</v>
      </c>
      <c r="I1445">
        <v>89</v>
      </c>
      <c r="J1445">
        <v>92</v>
      </c>
      <c r="K1445" t="s">
        <v>1245</v>
      </c>
      <c r="M1445" t="s">
        <v>2853</v>
      </c>
    </row>
    <row r="1446" spans="1:13" x14ac:dyDescent="0.35">
      <c r="A1446">
        <v>103440</v>
      </c>
      <c r="B1446">
        <v>1583</v>
      </c>
      <c r="C1446" t="s">
        <v>602</v>
      </c>
      <c r="D1446" t="s">
        <v>1066</v>
      </c>
      <c r="E1446" t="s">
        <v>2854</v>
      </c>
      <c r="F1446">
        <v>4166612</v>
      </c>
      <c r="G1446">
        <v>20680</v>
      </c>
      <c r="H1446" t="s">
        <v>964</v>
      </c>
      <c r="I1446">
        <v>88</v>
      </c>
      <c r="J1446">
        <v>92</v>
      </c>
      <c r="K1446" t="s">
        <v>1068</v>
      </c>
      <c r="L1446" t="s">
        <v>965</v>
      </c>
      <c r="M1446" t="s">
        <v>2855</v>
      </c>
    </row>
    <row r="1447" spans="1:13" x14ac:dyDescent="0.35">
      <c r="A1447">
        <v>101453</v>
      </c>
      <c r="B1447">
        <v>1059</v>
      </c>
      <c r="C1447" t="s">
        <v>602</v>
      </c>
      <c r="D1447" t="s">
        <v>962</v>
      </c>
      <c r="E1447" t="s">
        <v>2856</v>
      </c>
      <c r="F1447">
        <v>3476</v>
      </c>
      <c r="G1447">
        <v>220737</v>
      </c>
      <c r="H1447" t="s">
        <v>964</v>
      </c>
      <c r="I1447">
        <v>88</v>
      </c>
      <c r="J1447">
        <v>88</v>
      </c>
      <c r="K1447" t="s">
        <v>979</v>
      </c>
      <c r="L1447" t="s">
        <v>965</v>
      </c>
      <c r="M1447" t="s">
        <v>2857</v>
      </c>
    </row>
    <row r="1448" spans="1:13" x14ac:dyDescent="0.35">
      <c r="A1448">
        <v>0</v>
      </c>
      <c r="B1448">
        <v>3222</v>
      </c>
      <c r="C1448" t="s">
        <v>602</v>
      </c>
      <c r="D1448" t="s">
        <v>2838</v>
      </c>
      <c r="E1448" t="s">
        <v>2858</v>
      </c>
      <c r="G1448">
        <v>0</v>
      </c>
      <c r="H1448" t="s">
        <v>964</v>
      </c>
      <c r="I1448">
        <v>88</v>
      </c>
      <c r="J1448">
        <v>91</v>
      </c>
      <c r="L1448" t="s">
        <v>2859</v>
      </c>
      <c r="M1448" t="s">
        <v>2858</v>
      </c>
    </row>
    <row r="1449" spans="1:13" x14ac:dyDescent="0.35">
      <c r="A1449">
        <v>0</v>
      </c>
      <c r="B1449">
        <v>2816</v>
      </c>
      <c r="C1449" t="s">
        <v>602</v>
      </c>
      <c r="D1449" t="s">
        <v>1301</v>
      </c>
      <c r="E1449" t="s">
        <v>2860</v>
      </c>
      <c r="F1449">
        <v>7042</v>
      </c>
      <c r="I1449">
        <v>88</v>
      </c>
      <c r="J1449">
        <v>87</v>
      </c>
      <c r="M1449" t="s">
        <v>2860</v>
      </c>
    </row>
    <row r="1450" spans="1:13" x14ac:dyDescent="0.35">
      <c r="A1450">
        <v>0</v>
      </c>
      <c r="B1450">
        <v>2815</v>
      </c>
      <c r="C1450" t="s">
        <v>602</v>
      </c>
      <c r="D1450" t="s">
        <v>1301</v>
      </c>
      <c r="E1450" t="s">
        <v>2861</v>
      </c>
      <c r="F1450">
        <v>7041</v>
      </c>
      <c r="I1450">
        <v>87</v>
      </c>
      <c r="J1450">
        <v>86</v>
      </c>
      <c r="M1450" t="s">
        <v>2861</v>
      </c>
    </row>
    <row r="1451" spans="1:13" x14ac:dyDescent="0.35">
      <c r="A1451">
        <v>0</v>
      </c>
      <c r="B1451">
        <v>3330</v>
      </c>
      <c r="C1451" t="s">
        <v>602</v>
      </c>
      <c r="D1451" t="s">
        <v>1243</v>
      </c>
      <c r="E1451" t="s">
        <v>2862</v>
      </c>
      <c r="F1451">
        <v>34</v>
      </c>
      <c r="G1451">
        <v>228728</v>
      </c>
      <c r="H1451" t="s">
        <v>964</v>
      </c>
      <c r="I1451">
        <v>87</v>
      </c>
      <c r="J1451">
        <v>90</v>
      </c>
      <c r="K1451" t="s">
        <v>1761</v>
      </c>
      <c r="M1451" t="s">
        <v>2862</v>
      </c>
    </row>
    <row r="1452" spans="1:13" x14ac:dyDescent="0.35">
      <c r="A1452">
        <v>103882</v>
      </c>
      <c r="B1452">
        <v>1669</v>
      </c>
      <c r="C1452" t="s">
        <v>602</v>
      </c>
      <c r="D1452" t="s">
        <v>1066</v>
      </c>
      <c r="E1452" t="s">
        <v>2863</v>
      </c>
      <c r="F1452">
        <v>4166520</v>
      </c>
      <c r="G1452">
        <v>1694</v>
      </c>
      <c r="H1452" t="s">
        <v>964</v>
      </c>
      <c r="I1452">
        <v>87</v>
      </c>
      <c r="J1452">
        <v>91</v>
      </c>
      <c r="K1452" t="s">
        <v>1068</v>
      </c>
      <c r="L1452" t="s">
        <v>980</v>
      </c>
      <c r="M1452" t="s">
        <v>2864</v>
      </c>
    </row>
    <row r="1453" spans="1:13" x14ac:dyDescent="0.35">
      <c r="A1453">
        <v>101588</v>
      </c>
      <c r="B1453">
        <v>1181</v>
      </c>
      <c r="C1453" t="s">
        <v>602</v>
      </c>
      <c r="D1453" t="s">
        <v>962</v>
      </c>
      <c r="E1453" t="s">
        <v>2865</v>
      </c>
      <c r="F1453">
        <v>4522</v>
      </c>
      <c r="G1453">
        <v>222684</v>
      </c>
      <c r="H1453" t="s">
        <v>964</v>
      </c>
      <c r="I1453">
        <v>87</v>
      </c>
      <c r="J1453">
        <v>87</v>
      </c>
      <c r="K1453" t="s">
        <v>979</v>
      </c>
      <c r="L1453" t="s">
        <v>965</v>
      </c>
      <c r="M1453" t="s">
        <v>2866</v>
      </c>
    </row>
    <row r="1454" spans="1:13" x14ac:dyDescent="0.35">
      <c r="A1454">
        <v>101327</v>
      </c>
      <c r="B1454">
        <v>964</v>
      </c>
      <c r="C1454" t="s">
        <v>602</v>
      </c>
      <c r="D1454" t="s">
        <v>962</v>
      </c>
      <c r="E1454" t="s">
        <v>2867</v>
      </c>
      <c r="F1454">
        <v>3461</v>
      </c>
      <c r="G1454">
        <v>219733</v>
      </c>
      <c r="H1454" t="s">
        <v>964</v>
      </c>
      <c r="I1454">
        <v>86</v>
      </c>
      <c r="J1454">
        <v>86</v>
      </c>
      <c r="K1454" t="s">
        <v>1051</v>
      </c>
      <c r="L1454" t="s">
        <v>965</v>
      </c>
      <c r="M1454" t="s">
        <v>2868</v>
      </c>
    </row>
    <row r="1455" spans="1:13" x14ac:dyDescent="0.35">
      <c r="A1455">
        <v>0</v>
      </c>
      <c r="B1455">
        <v>2814</v>
      </c>
      <c r="C1455" t="s">
        <v>602</v>
      </c>
      <c r="D1455" t="s">
        <v>1301</v>
      </c>
      <c r="E1455" t="s">
        <v>2869</v>
      </c>
      <c r="F1455">
        <v>7040</v>
      </c>
      <c r="I1455">
        <v>86</v>
      </c>
      <c r="J1455">
        <v>85</v>
      </c>
      <c r="M1455" t="s">
        <v>2869</v>
      </c>
    </row>
    <row r="1456" spans="1:13" x14ac:dyDescent="0.35">
      <c r="A1456">
        <v>103349</v>
      </c>
      <c r="B1456">
        <v>1514</v>
      </c>
      <c r="C1456" t="s">
        <v>602</v>
      </c>
      <c r="D1456" t="s">
        <v>1066</v>
      </c>
      <c r="E1456" t="s">
        <v>2870</v>
      </c>
      <c r="F1456">
        <v>4166594</v>
      </c>
      <c r="G1456">
        <v>222616</v>
      </c>
      <c r="H1456" t="s">
        <v>964</v>
      </c>
      <c r="I1456">
        <v>86</v>
      </c>
      <c r="J1456">
        <v>90</v>
      </c>
      <c r="K1456" t="s">
        <v>1068</v>
      </c>
      <c r="L1456" t="s">
        <v>965</v>
      </c>
      <c r="M1456" t="s">
        <v>2871</v>
      </c>
    </row>
    <row r="1457" spans="1:13" x14ac:dyDescent="0.35">
      <c r="A1457">
        <v>0</v>
      </c>
      <c r="B1457">
        <v>3373</v>
      </c>
      <c r="C1457" t="s">
        <v>602</v>
      </c>
      <c r="D1457" t="s">
        <v>1243</v>
      </c>
      <c r="E1457" t="s">
        <v>2872</v>
      </c>
      <c r="F1457">
        <v>33</v>
      </c>
      <c r="G1457">
        <v>228729</v>
      </c>
      <c r="H1457" t="s">
        <v>964</v>
      </c>
      <c r="I1457">
        <v>86</v>
      </c>
      <c r="J1457">
        <v>89</v>
      </c>
      <c r="K1457" t="s">
        <v>1761</v>
      </c>
      <c r="M1457" t="s">
        <v>2872</v>
      </c>
    </row>
    <row r="1458" spans="1:13" x14ac:dyDescent="0.35">
      <c r="A1458">
        <v>0</v>
      </c>
      <c r="B1458">
        <v>3219</v>
      </c>
      <c r="C1458" t="s">
        <v>602</v>
      </c>
      <c r="D1458" t="s">
        <v>1243</v>
      </c>
      <c r="E1458" t="s">
        <v>2873</v>
      </c>
      <c r="F1458">
        <v>66</v>
      </c>
      <c r="G1458">
        <v>228706</v>
      </c>
      <c r="H1458" t="s">
        <v>964</v>
      </c>
      <c r="I1458">
        <v>85</v>
      </c>
      <c r="J1458">
        <v>88</v>
      </c>
      <c r="K1458" t="s">
        <v>1245</v>
      </c>
      <c r="M1458" t="s">
        <v>2873</v>
      </c>
    </row>
    <row r="1459" spans="1:13" x14ac:dyDescent="0.35">
      <c r="A1459">
        <v>101292</v>
      </c>
      <c r="B1459">
        <v>1369</v>
      </c>
      <c r="C1459" t="s">
        <v>602</v>
      </c>
      <c r="D1459" t="s">
        <v>1066</v>
      </c>
      <c r="E1459" t="s">
        <v>2874</v>
      </c>
      <c r="F1459">
        <v>4166544</v>
      </c>
      <c r="G1459">
        <v>217720</v>
      </c>
      <c r="H1459" t="s">
        <v>964</v>
      </c>
      <c r="I1459">
        <v>85</v>
      </c>
      <c r="J1459">
        <v>89</v>
      </c>
      <c r="K1459" t="s">
        <v>1068</v>
      </c>
      <c r="L1459" t="s">
        <v>965</v>
      </c>
      <c r="M1459" t="s">
        <v>2875</v>
      </c>
    </row>
    <row r="1460" spans="1:13" x14ac:dyDescent="0.35">
      <c r="A1460">
        <v>0</v>
      </c>
      <c r="B1460">
        <v>2813</v>
      </c>
      <c r="C1460" t="s">
        <v>602</v>
      </c>
      <c r="D1460" t="s">
        <v>1301</v>
      </c>
      <c r="E1460" t="s">
        <v>2876</v>
      </c>
      <c r="F1460">
        <v>7039</v>
      </c>
      <c r="I1460">
        <v>85</v>
      </c>
      <c r="J1460">
        <v>84</v>
      </c>
      <c r="M1460" t="s">
        <v>2876</v>
      </c>
    </row>
    <row r="1461" spans="1:13" x14ac:dyDescent="0.35">
      <c r="A1461">
        <v>101340</v>
      </c>
      <c r="B1461">
        <v>974</v>
      </c>
      <c r="C1461" t="s">
        <v>602</v>
      </c>
      <c r="D1461" t="s">
        <v>962</v>
      </c>
      <c r="E1461" t="s">
        <v>2877</v>
      </c>
      <c r="F1461">
        <v>3441</v>
      </c>
      <c r="G1461">
        <v>219735</v>
      </c>
      <c r="H1461" t="s">
        <v>964</v>
      </c>
      <c r="I1461">
        <v>85</v>
      </c>
      <c r="J1461">
        <v>85</v>
      </c>
      <c r="K1461" t="s">
        <v>1051</v>
      </c>
      <c r="L1461" t="s">
        <v>965</v>
      </c>
      <c r="M1461" t="s">
        <v>2878</v>
      </c>
    </row>
    <row r="1462" spans="1:13" x14ac:dyDescent="0.35">
      <c r="A1462">
        <v>0</v>
      </c>
      <c r="B1462">
        <v>2812</v>
      </c>
      <c r="C1462" t="s">
        <v>602</v>
      </c>
      <c r="D1462" t="s">
        <v>1301</v>
      </c>
      <c r="E1462" t="s">
        <v>2879</v>
      </c>
      <c r="F1462">
        <v>7038</v>
      </c>
      <c r="I1462">
        <v>84</v>
      </c>
      <c r="J1462">
        <v>83</v>
      </c>
      <c r="M1462" t="s">
        <v>2879</v>
      </c>
    </row>
    <row r="1463" spans="1:13" x14ac:dyDescent="0.35">
      <c r="A1463">
        <v>102066</v>
      </c>
      <c r="B1463">
        <v>1376</v>
      </c>
      <c r="C1463" t="s">
        <v>602</v>
      </c>
      <c r="D1463" t="s">
        <v>1066</v>
      </c>
      <c r="E1463" t="s">
        <v>2880</v>
      </c>
      <c r="F1463">
        <v>4166552</v>
      </c>
      <c r="G1463">
        <v>2251</v>
      </c>
      <c r="H1463" t="s">
        <v>964</v>
      </c>
      <c r="I1463">
        <v>84</v>
      </c>
      <c r="J1463">
        <v>88</v>
      </c>
      <c r="K1463" t="s">
        <v>1068</v>
      </c>
      <c r="L1463" t="s">
        <v>965</v>
      </c>
      <c r="M1463" t="s">
        <v>2881</v>
      </c>
    </row>
    <row r="1464" spans="1:13" x14ac:dyDescent="0.35">
      <c r="A1464">
        <v>104250</v>
      </c>
      <c r="B1464">
        <v>1273</v>
      </c>
      <c r="C1464" t="s">
        <v>602</v>
      </c>
      <c r="D1464" t="s">
        <v>962</v>
      </c>
      <c r="E1464" t="s">
        <v>2882</v>
      </c>
      <c r="F1464">
        <v>5319</v>
      </c>
      <c r="G1464">
        <v>227464</v>
      </c>
      <c r="H1464" t="s">
        <v>964</v>
      </c>
      <c r="I1464">
        <v>84</v>
      </c>
      <c r="J1464">
        <v>84</v>
      </c>
      <c r="K1464" t="s">
        <v>979</v>
      </c>
      <c r="L1464" t="s">
        <v>965</v>
      </c>
      <c r="M1464" t="s">
        <v>2883</v>
      </c>
    </row>
    <row r="1465" spans="1:13" x14ac:dyDescent="0.35">
      <c r="A1465">
        <v>0</v>
      </c>
      <c r="B1465">
        <v>2811</v>
      </c>
      <c r="C1465" t="s">
        <v>602</v>
      </c>
      <c r="D1465" t="s">
        <v>1301</v>
      </c>
      <c r="E1465" t="s">
        <v>2884</v>
      </c>
      <c r="F1465">
        <v>7037</v>
      </c>
      <c r="I1465">
        <v>83</v>
      </c>
      <c r="J1465">
        <v>82</v>
      </c>
      <c r="M1465" t="s">
        <v>2884</v>
      </c>
    </row>
    <row r="1466" spans="1:13" x14ac:dyDescent="0.35">
      <c r="A1466">
        <v>0</v>
      </c>
      <c r="B1466">
        <v>3168</v>
      </c>
      <c r="C1466" t="s">
        <v>602</v>
      </c>
      <c r="D1466" t="s">
        <v>1243</v>
      </c>
      <c r="E1466" t="s">
        <v>2885</v>
      </c>
      <c r="F1466">
        <v>68</v>
      </c>
      <c r="G1466">
        <v>228704</v>
      </c>
      <c r="H1466" t="s">
        <v>964</v>
      </c>
      <c r="I1466">
        <v>83</v>
      </c>
      <c r="J1466">
        <v>86</v>
      </c>
      <c r="K1466" t="s">
        <v>2796</v>
      </c>
      <c r="M1466" t="s">
        <v>2885</v>
      </c>
    </row>
    <row r="1467" spans="1:13" x14ac:dyDescent="0.35">
      <c r="A1467">
        <v>101405</v>
      </c>
      <c r="B1467">
        <v>1025</v>
      </c>
      <c r="C1467" t="s">
        <v>597</v>
      </c>
      <c r="D1467" t="s">
        <v>962</v>
      </c>
      <c r="E1467" t="s">
        <v>2886</v>
      </c>
      <c r="F1467">
        <v>3466</v>
      </c>
      <c r="G1467">
        <v>551</v>
      </c>
      <c r="H1467" t="s">
        <v>964</v>
      </c>
      <c r="I1467">
        <v>83</v>
      </c>
      <c r="J1467">
        <v>83</v>
      </c>
      <c r="K1467" t="s">
        <v>979</v>
      </c>
      <c r="L1467" t="s">
        <v>965</v>
      </c>
      <c r="M1467" t="s">
        <v>2887</v>
      </c>
    </row>
    <row r="1468" spans="1:13" x14ac:dyDescent="0.35">
      <c r="A1468">
        <v>104243</v>
      </c>
      <c r="B1468">
        <v>1694</v>
      </c>
      <c r="C1468" t="s">
        <v>602</v>
      </c>
      <c r="D1468" t="s">
        <v>1066</v>
      </c>
      <c r="E1468" t="s">
        <v>2888</v>
      </c>
      <c r="F1468">
        <v>4166591</v>
      </c>
      <c r="G1468">
        <v>227360</v>
      </c>
      <c r="H1468" t="s">
        <v>964</v>
      </c>
      <c r="I1468">
        <v>83</v>
      </c>
      <c r="J1468">
        <v>87</v>
      </c>
      <c r="K1468" t="s">
        <v>1068</v>
      </c>
      <c r="L1468" t="s">
        <v>965</v>
      </c>
      <c r="M1468" t="s">
        <v>2889</v>
      </c>
    </row>
    <row r="1469" spans="1:13" x14ac:dyDescent="0.35">
      <c r="A1469">
        <v>101437</v>
      </c>
      <c r="B1469">
        <v>1050</v>
      </c>
      <c r="C1469" t="s">
        <v>602</v>
      </c>
      <c r="D1469" t="s">
        <v>962</v>
      </c>
      <c r="E1469" t="s">
        <v>2890</v>
      </c>
      <c r="F1469">
        <v>3474</v>
      </c>
      <c r="G1469">
        <v>220547</v>
      </c>
      <c r="H1469" t="s">
        <v>964</v>
      </c>
      <c r="I1469">
        <v>82</v>
      </c>
      <c r="J1469">
        <v>82</v>
      </c>
      <c r="K1469" t="s">
        <v>979</v>
      </c>
      <c r="L1469" t="s">
        <v>965</v>
      </c>
      <c r="M1469" t="s">
        <v>2891</v>
      </c>
    </row>
    <row r="1470" spans="1:13" x14ac:dyDescent="0.35">
      <c r="A1470">
        <v>0</v>
      </c>
      <c r="B1470">
        <v>2810</v>
      </c>
      <c r="C1470" t="s">
        <v>602</v>
      </c>
      <c r="D1470" t="s">
        <v>1301</v>
      </c>
      <c r="E1470" t="s">
        <v>2892</v>
      </c>
      <c r="F1470">
        <v>7036</v>
      </c>
      <c r="I1470">
        <v>82</v>
      </c>
      <c r="J1470">
        <v>81</v>
      </c>
      <c r="M1470" t="s">
        <v>2892</v>
      </c>
    </row>
    <row r="1471" spans="1:13" x14ac:dyDescent="0.35">
      <c r="A1471">
        <v>103401</v>
      </c>
      <c r="B1471">
        <v>1548</v>
      </c>
      <c r="C1471" t="s">
        <v>602</v>
      </c>
      <c r="D1471" t="s">
        <v>1066</v>
      </c>
      <c r="E1471" t="s">
        <v>2893</v>
      </c>
      <c r="F1471">
        <v>4166613</v>
      </c>
      <c r="G1471">
        <v>222711</v>
      </c>
      <c r="H1471" t="s">
        <v>964</v>
      </c>
      <c r="I1471">
        <v>82</v>
      </c>
      <c r="J1471">
        <v>86</v>
      </c>
      <c r="K1471" t="s">
        <v>1068</v>
      </c>
      <c r="L1471" t="s">
        <v>1581</v>
      </c>
      <c r="M1471" t="s">
        <v>2894</v>
      </c>
    </row>
    <row r="1472" spans="1:13" x14ac:dyDescent="0.35">
      <c r="A1472">
        <v>0</v>
      </c>
      <c r="B1472">
        <v>3160</v>
      </c>
      <c r="C1472" t="s">
        <v>602</v>
      </c>
      <c r="D1472" t="s">
        <v>1243</v>
      </c>
      <c r="E1472" t="s">
        <v>2895</v>
      </c>
      <c r="F1472">
        <v>59</v>
      </c>
      <c r="G1472">
        <v>228712</v>
      </c>
      <c r="H1472" t="s">
        <v>964</v>
      </c>
      <c r="I1472">
        <v>81</v>
      </c>
      <c r="J1472">
        <v>84</v>
      </c>
      <c r="K1472" t="s">
        <v>2796</v>
      </c>
      <c r="M1472" t="s">
        <v>2895</v>
      </c>
    </row>
    <row r="1473" spans="1:13" x14ac:dyDescent="0.35">
      <c r="A1473">
        <v>0</v>
      </c>
      <c r="B1473">
        <v>2809</v>
      </c>
      <c r="C1473" t="s">
        <v>602</v>
      </c>
      <c r="D1473" t="s">
        <v>1301</v>
      </c>
      <c r="E1473" t="s">
        <v>2896</v>
      </c>
      <c r="F1473">
        <v>7035</v>
      </c>
      <c r="I1473">
        <v>81</v>
      </c>
      <c r="J1473">
        <v>80</v>
      </c>
      <c r="M1473" t="s">
        <v>2896</v>
      </c>
    </row>
    <row r="1474" spans="1:13" x14ac:dyDescent="0.35">
      <c r="A1474">
        <v>103774</v>
      </c>
      <c r="B1474">
        <v>1643</v>
      </c>
      <c r="C1474" t="s">
        <v>602</v>
      </c>
      <c r="D1474" t="s">
        <v>1066</v>
      </c>
      <c r="E1474" t="s">
        <v>2897</v>
      </c>
      <c r="F1474">
        <v>4166507</v>
      </c>
      <c r="G1474">
        <v>2791</v>
      </c>
      <c r="H1474" t="s">
        <v>964</v>
      </c>
      <c r="I1474">
        <v>81</v>
      </c>
      <c r="J1474">
        <v>84</v>
      </c>
      <c r="K1474" t="s">
        <v>1068</v>
      </c>
      <c r="L1474" t="s">
        <v>965</v>
      </c>
      <c r="M1474" t="s">
        <v>2898</v>
      </c>
    </row>
    <row r="1475" spans="1:13" x14ac:dyDescent="0.35">
      <c r="A1475">
        <v>101387</v>
      </c>
      <c r="B1475">
        <v>1012</v>
      </c>
      <c r="C1475" t="s">
        <v>602</v>
      </c>
      <c r="D1475" t="s">
        <v>962</v>
      </c>
      <c r="E1475" t="s">
        <v>2899</v>
      </c>
      <c r="F1475">
        <v>3504</v>
      </c>
      <c r="G1475">
        <v>21920</v>
      </c>
      <c r="H1475" t="s">
        <v>964</v>
      </c>
      <c r="I1475">
        <v>81</v>
      </c>
      <c r="J1475">
        <v>81</v>
      </c>
      <c r="K1475" t="s">
        <v>1051</v>
      </c>
      <c r="L1475" t="s">
        <v>1581</v>
      </c>
      <c r="M1475" t="s">
        <v>2900</v>
      </c>
    </row>
    <row r="1476" spans="1:13" x14ac:dyDescent="0.35">
      <c r="A1476">
        <v>102079</v>
      </c>
      <c r="B1476">
        <v>1386</v>
      </c>
      <c r="C1476" t="s">
        <v>602</v>
      </c>
      <c r="D1476" t="s">
        <v>1066</v>
      </c>
      <c r="E1476" t="s">
        <v>2901</v>
      </c>
      <c r="F1476">
        <v>4166651</v>
      </c>
      <c r="G1476">
        <v>220127</v>
      </c>
      <c r="H1476" t="s">
        <v>964</v>
      </c>
      <c r="I1476">
        <v>80</v>
      </c>
      <c r="J1476">
        <v>83</v>
      </c>
      <c r="K1476" t="s">
        <v>1068</v>
      </c>
      <c r="L1476" t="s">
        <v>980</v>
      </c>
      <c r="M1476" t="s">
        <v>2902</v>
      </c>
    </row>
    <row r="1477" spans="1:13" x14ac:dyDescent="0.35">
      <c r="A1477">
        <v>0</v>
      </c>
      <c r="B1477">
        <v>3154</v>
      </c>
      <c r="C1477" t="s">
        <v>602</v>
      </c>
      <c r="D1477" t="s">
        <v>1243</v>
      </c>
      <c r="E1477" t="s">
        <v>2903</v>
      </c>
      <c r="F1477">
        <v>61</v>
      </c>
      <c r="G1477">
        <v>228710</v>
      </c>
      <c r="H1477" t="s">
        <v>964</v>
      </c>
      <c r="I1477">
        <v>80</v>
      </c>
      <c r="J1477">
        <v>83</v>
      </c>
      <c r="K1477" t="s">
        <v>1761</v>
      </c>
      <c r="M1477" t="s">
        <v>2903</v>
      </c>
    </row>
    <row r="1478" spans="1:13" x14ac:dyDescent="0.35">
      <c r="A1478">
        <v>101423</v>
      </c>
      <c r="B1478">
        <v>1038</v>
      </c>
      <c r="C1478" t="s">
        <v>602</v>
      </c>
      <c r="D1478" t="s">
        <v>962</v>
      </c>
      <c r="E1478" t="s">
        <v>2904</v>
      </c>
      <c r="F1478">
        <v>3471</v>
      </c>
      <c r="G1478">
        <v>220172</v>
      </c>
      <c r="H1478" t="s">
        <v>964</v>
      </c>
      <c r="I1478">
        <v>80</v>
      </c>
      <c r="J1478">
        <v>80</v>
      </c>
      <c r="K1478" t="s">
        <v>979</v>
      </c>
      <c r="L1478" t="s">
        <v>965</v>
      </c>
      <c r="M1478" t="s">
        <v>2905</v>
      </c>
    </row>
    <row r="1479" spans="1:13" x14ac:dyDescent="0.35">
      <c r="A1479">
        <v>0</v>
      </c>
      <c r="B1479">
        <v>2808</v>
      </c>
      <c r="C1479" t="s">
        <v>602</v>
      </c>
      <c r="D1479" t="s">
        <v>1301</v>
      </c>
      <c r="E1479" t="s">
        <v>2906</v>
      </c>
      <c r="F1479">
        <v>7034</v>
      </c>
      <c r="I1479">
        <v>80</v>
      </c>
      <c r="J1479">
        <v>79</v>
      </c>
      <c r="M1479" t="s">
        <v>2906</v>
      </c>
    </row>
    <row r="1480" spans="1:13" x14ac:dyDescent="0.35">
      <c r="A1480">
        <v>0</v>
      </c>
      <c r="B1480">
        <v>3153</v>
      </c>
      <c r="C1480" t="s">
        <v>602</v>
      </c>
      <c r="D1480" t="s">
        <v>1243</v>
      </c>
      <c r="E1480" t="s">
        <v>2907</v>
      </c>
      <c r="F1480">
        <v>60</v>
      </c>
      <c r="G1480">
        <v>228711</v>
      </c>
      <c r="H1480" t="s">
        <v>964</v>
      </c>
      <c r="I1480">
        <v>79</v>
      </c>
      <c r="J1480">
        <v>82</v>
      </c>
      <c r="K1480" t="s">
        <v>1761</v>
      </c>
      <c r="M1480" t="s">
        <v>2907</v>
      </c>
    </row>
    <row r="1481" spans="1:13" x14ac:dyDescent="0.35">
      <c r="A1481">
        <v>104395</v>
      </c>
      <c r="B1481">
        <v>1616</v>
      </c>
      <c r="C1481" t="s">
        <v>602</v>
      </c>
      <c r="D1481" t="s">
        <v>1066</v>
      </c>
      <c r="E1481" t="s">
        <v>2908</v>
      </c>
      <c r="F1481">
        <v>4167453</v>
      </c>
      <c r="G1481">
        <v>222830</v>
      </c>
      <c r="H1481" t="s">
        <v>964</v>
      </c>
      <c r="I1481">
        <v>79</v>
      </c>
      <c r="J1481">
        <v>82</v>
      </c>
      <c r="K1481" t="s">
        <v>1104</v>
      </c>
      <c r="L1481" t="s">
        <v>965</v>
      </c>
      <c r="M1481" t="s">
        <v>2909</v>
      </c>
    </row>
    <row r="1482" spans="1:13" x14ac:dyDescent="0.35">
      <c r="A1482">
        <v>104257</v>
      </c>
      <c r="B1482">
        <v>1276</v>
      </c>
      <c r="C1482" t="s">
        <v>602</v>
      </c>
      <c r="D1482" t="s">
        <v>962</v>
      </c>
      <c r="E1482" t="s">
        <v>2910</v>
      </c>
      <c r="F1482">
        <v>5538</v>
      </c>
      <c r="G1482">
        <v>227503</v>
      </c>
      <c r="H1482" t="s">
        <v>964</v>
      </c>
      <c r="I1482">
        <v>79</v>
      </c>
      <c r="J1482">
        <v>79</v>
      </c>
      <c r="K1482" t="s">
        <v>979</v>
      </c>
      <c r="L1482" t="s">
        <v>965</v>
      </c>
      <c r="M1482" t="s">
        <v>2911</v>
      </c>
    </row>
    <row r="1483" spans="1:13" x14ac:dyDescent="0.35">
      <c r="A1483">
        <v>0</v>
      </c>
      <c r="B1483">
        <v>2807</v>
      </c>
      <c r="C1483" t="s">
        <v>602</v>
      </c>
      <c r="D1483" t="s">
        <v>1301</v>
      </c>
      <c r="E1483" t="s">
        <v>2912</v>
      </c>
      <c r="F1483">
        <v>7033</v>
      </c>
      <c r="I1483">
        <v>79</v>
      </c>
      <c r="J1483">
        <v>78</v>
      </c>
      <c r="M1483" t="s">
        <v>2912</v>
      </c>
    </row>
    <row r="1484" spans="1:13" x14ac:dyDescent="0.35">
      <c r="A1484">
        <v>102117</v>
      </c>
      <c r="B1484">
        <v>1412</v>
      </c>
      <c r="C1484" t="s">
        <v>602</v>
      </c>
      <c r="D1484" t="s">
        <v>1066</v>
      </c>
      <c r="E1484" t="s">
        <v>2913</v>
      </c>
      <c r="F1484">
        <v>4166624</v>
      </c>
      <c r="G1484">
        <v>222592</v>
      </c>
      <c r="H1484" t="s">
        <v>964</v>
      </c>
      <c r="I1484">
        <v>78</v>
      </c>
      <c r="J1484">
        <v>81</v>
      </c>
      <c r="K1484" t="s">
        <v>1068</v>
      </c>
      <c r="L1484" t="s">
        <v>965</v>
      </c>
      <c r="M1484" t="s">
        <v>2914</v>
      </c>
    </row>
    <row r="1485" spans="1:13" x14ac:dyDescent="0.35">
      <c r="A1485">
        <v>0</v>
      </c>
      <c r="B1485">
        <v>3152</v>
      </c>
      <c r="C1485" t="s">
        <v>602</v>
      </c>
      <c r="D1485" t="s">
        <v>1243</v>
      </c>
      <c r="E1485" t="s">
        <v>2915</v>
      </c>
      <c r="F1485">
        <v>63</v>
      </c>
      <c r="G1485">
        <v>228708</v>
      </c>
      <c r="H1485" t="s">
        <v>964</v>
      </c>
      <c r="I1485">
        <v>78</v>
      </c>
      <c r="J1485">
        <v>81</v>
      </c>
      <c r="K1485" t="s">
        <v>1761</v>
      </c>
      <c r="M1485" t="s">
        <v>2915</v>
      </c>
    </row>
    <row r="1486" spans="1:13" x14ac:dyDescent="0.35">
      <c r="A1486">
        <v>101543</v>
      </c>
      <c r="B1486">
        <v>1136</v>
      </c>
      <c r="C1486" t="s">
        <v>602</v>
      </c>
      <c r="D1486" t="s">
        <v>962</v>
      </c>
      <c r="E1486" t="s">
        <v>2916</v>
      </c>
      <c r="F1486">
        <v>3802</v>
      </c>
      <c r="G1486">
        <v>221949</v>
      </c>
      <c r="H1486" t="s">
        <v>964</v>
      </c>
      <c r="I1486">
        <v>78</v>
      </c>
      <c r="J1486">
        <v>78</v>
      </c>
      <c r="K1486" t="s">
        <v>1051</v>
      </c>
      <c r="L1486" t="s">
        <v>965</v>
      </c>
      <c r="M1486" t="s">
        <v>2917</v>
      </c>
    </row>
    <row r="1487" spans="1:13" x14ac:dyDescent="0.35">
      <c r="A1487">
        <v>0</v>
      </c>
      <c r="B1487">
        <v>2806</v>
      </c>
      <c r="C1487" t="s">
        <v>602</v>
      </c>
      <c r="D1487" t="s">
        <v>1301</v>
      </c>
      <c r="E1487" t="s">
        <v>2918</v>
      </c>
      <c r="F1487">
        <v>7032</v>
      </c>
      <c r="I1487">
        <v>78</v>
      </c>
      <c r="J1487">
        <v>77</v>
      </c>
      <c r="M1487" t="s">
        <v>2918</v>
      </c>
    </row>
    <row r="1488" spans="1:13" x14ac:dyDescent="0.35">
      <c r="A1488">
        <v>101586</v>
      </c>
      <c r="B1488">
        <v>1179</v>
      </c>
      <c r="C1488" t="s">
        <v>602</v>
      </c>
      <c r="D1488" t="s">
        <v>962</v>
      </c>
      <c r="E1488" t="s">
        <v>2919</v>
      </c>
      <c r="F1488">
        <v>4554</v>
      </c>
      <c r="G1488">
        <v>222646</v>
      </c>
      <c r="H1488" t="s">
        <v>964</v>
      </c>
      <c r="I1488">
        <v>77</v>
      </c>
      <c r="J1488">
        <v>77</v>
      </c>
      <c r="K1488" t="s">
        <v>979</v>
      </c>
      <c r="L1488" t="s">
        <v>965</v>
      </c>
      <c r="M1488" t="s">
        <v>2920</v>
      </c>
    </row>
    <row r="1489" spans="1:13" x14ac:dyDescent="0.35">
      <c r="A1489">
        <v>0</v>
      </c>
      <c r="B1489">
        <v>2805</v>
      </c>
      <c r="C1489" t="s">
        <v>602</v>
      </c>
      <c r="D1489" t="s">
        <v>1301</v>
      </c>
      <c r="E1489" t="s">
        <v>2921</v>
      </c>
      <c r="F1489">
        <v>7031</v>
      </c>
      <c r="I1489">
        <v>77</v>
      </c>
      <c r="J1489">
        <v>76</v>
      </c>
      <c r="M1489" t="s">
        <v>2921</v>
      </c>
    </row>
    <row r="1490" spans="1:13" x14ac:dyDescent="0.35">
      <c r="A1490">
        <v>104132</v>
      </c>
      <c r="B1490">
        <v>1679</v>
      </c>
      <c r="C1490" t="s">
        <v>602</v>
      </c>
      <c r="D1490" t="s">
        <v>1066</v>
      </c>
      <c r="E1490" t="s">
        <v>2922</v>
      </c>
      <c r="F1490">
        <v>4167311</v>
      </c>
      <c r="G1490">
        <v>226431</v>
      </c>
      <c r="H1490" t="s">
        <v>964</v>
      </c>
      <c r="I1490">
        <v>77</v>
      </c>
      <c r="J1490">
        <v>80</v>
      </c>
      <c r="K1490" t="s">
        <v>1068</v>
      </c>
      <c r="L1490" t="s">
        <v>965</v>
      </c>
      <c r="M1490" t="s">
        <v>2923</v>
      </c>
    </row>
    <row r="1491" spans="1:13" x14ac:dyDescent="0.35">
      <c r="A1491">
        <v>0</v>
      </c>
      <c r="B1491">
        <v>3151</v>
      </c>
      <c r="C1491" t="s">
        <v>602</v>
      </c>
      <c r="D1491" t="s">
        <v>1243</v>
      </c>
      <c r="E1491" t="s">
        <v>2924</v>
      </c>
      <c r="F1491">
        <v>70</v>
      </c>
      <c r="G1491">
        <v>228882</v>
      </c>
      <c r="H1491" t="s">
        <v>964</v>
      </c>
      <c r="I1491">
        <v>77</v>
      </c>
      <c r="J1491">
        <v>80</v>
      </c>
      <c r="K1491" t="s">
        <v>2796</v>
      </c>
      <c r="M1491" t="s">
        <v>2924</v>
      </c>
    </row>
    <row r="1492" spans="1:13" x14ac:dyDescent="0.35">
      <c r="A1492">
        <v>103397</v>
      </c>
      <c r="B1492">
        <v>1545</v>
      </c>
      <c r="C1492" t="s">
        <v>602</v>
      </c>
      <c r="D1492" t="s">
        <v>1066</v>
      </c>
      <c r="E1492" t="s">
        <v>2925</v>
      </c>
      <c r="F1492">
        <v>4166569</v>
      </c>
      <c r="G1492">
        <v>217662</v>
      </c>
      <c r="H1492" t="s">
        <v>964</v>
      </c>
      <c r="I1492">
        <v>76</v>
      </c>
      <c r="J1492">
        <v>79</v>
      </c>
      <c r="K1492" t="s">
        <v>1068</v>
      </c>
      <c r="L1492" t="s">
        <v>965</v>
      </c>
      <c r="M1492" t="s">
        <v>2926</v>
      </c>
    </row>
    <row r="1493" spans="1:13" x14ac:dyDescent="0.35">
      <c r="A1493">
        <v>0</v>
      </c>
      <c r="B1493">
        <v>2804</v>
      </c>
      <c r="C1493" t="s">
        <v>602</v>
      </c>
      <c r="D1493" t="s">
        <v>1301</v>
      </c>
      <c r="E1493" t="s">
        <v>2927</v>
      </c>
      <c r="F1493">
        <v>7030</v>
      </c>
      <c r="I1493">
        <v>76</v>
      </c>
      <c r="J1493">
        <v>75</v>
      </c>
      <c r="M1493" t="s">
        <v>2927</v>
      </c>
    </row>
    <row r="1494" spans="1:13" x14ac:dyDescent="0.35">
      <c r="A1494">
        <v>101350</v>
      </c>
      <c r="B1494">
        <v>981</v>
      </c>
      <c r="C1494" t="s">
        <v>602</v>
      </c>
      <c r="D1494" t="s">
        <v>962</v>
      </c>
      <c r="E1494" t="s">
        <v>2928</v>
      </c>
      <c r="F1494">
        <v>3415</v>
      </c>
      <c r="G1494">
        <v>219788</v>
      </c>
      <c r="H1494" t="s">
        <v>964</v>
      </c>
      <c r="I1494">
        <v>76</v>
      </c>
      <c r="J1494">
        <v>76</v>
      </c>
      <c r="K1494" t="s">
        <v>1051</v>
      </c>
      <c r="L1494" t="s">
        <v>965</v>
      </c>
      <c r="M1494" t="s">
        <v>2929</v>
      </c>
    </row>
    <row r="1495" spans="1:13" x14ac:dyDescent="0.35">
      <c r="A1495">
        <v>0</v>
      </c>
      <c r="B1495">
        <v>2803</v>
      </c>
      <c r="C1495" t="s">
        <v>602</v>
      </c>
      <c r="D1495" t="s">
        <v>1301</v>
      </c>
      <c r="E1495" t="s">
        <v>2930</v>
      </c>
      <c r="F1495">
        <v>7029</v>
      </c>
      <c r="I1495">
        <v>75</v>
      </c>
      <c r="J1495">
        <v>74</v>
      </c>
      <c r="M1495" t="s">
        <v>2930</v>
      </c>
    </row>
    <row r="1496" spans="1:13" x14ac:dyDescent="0.35">
      <c r="A1496">
        <v>101326</v>
      </c>
      <c r="B1496">
        <v>963</v>
      </c>
      <c r="C1496" t="s">
        <v>602</v>
      </c>
      <c r="D1496" t="s">
        <v>962</v>
      </c>
      <c r="E1496" t="s">
        <v>2931</v>
      </c>
      <c r="F1496">
        <v>3454</v>
      </c>
      <c r="G1496">
        <v>219771</v>
      </c>
      <c r="H1496" t="s">
        <v>964</v>
      </c>
      <c r="I1496">
        <v>75</v>
      </c>
      <c r="J1496">
        <v>75</v>
      </c>
      <c r="K1496" t="s">
        <v>1051</v>
      </c>
      <c r="L1496" t="s">
        <v>965</v>
      </c>
      <c r="M1496" t="s">
        <v>2932</v>
      </c>
    </row>
    <row r="1497" spans="1:13" x14ac:dyDescent="0.35">
      <c r="A1497">
        <v>103388</v>
      </c>
      <c r="B1497">
        <v>2526</v>
      </c>
      <c r="C1497" t="s">
        <v>602</v>
      </c>
      <c r="D1497" t="s">
        <v>1301</v>
      </c>
      <c r="E1497" t="s">
        <v>2933</v>
      </c>
      <c r="I1497">
        <v>75</v>
      </c>
      <c r="J1497">
        <v>78</v>
      </c>
    </row>
    <row r="1498" spans="1:13" x14ac:dyDescent="0.35">
      <c r="A1498">
        <v>103431</v>
      </c>
      <c r="B1498">
        <v>1574</v>
      </c>
      <c r="C1498" t="s">
        <v>602</v>
      </c>
      <c r="D1498" t="s">
        <v>1066</v>
      </c>
      <c r="E1498" t="s">
        <v>2934</v>
      </c>
      <c r="F1498">
        <v>4166614</v>
      </c>
      <c r="G1498">
        <v>222726</v>
      </c>
      <c r="H1498" t="s">
        <v>964</v>
      </c>
      <c r="I1498">
        <v>75</v>
      </c>
      <c r="J1498">
        <v>78</v>
      </c>
      <c r="K1498" t="s">
        <v>1068</v>
      </c>
      <c r="L1498" t="s">
        <v>965</v>
      </c>
      <c r="M1498" t="s">
        <v>2935</v>
      </c>
    </row>
    <row r="1499" spans="1:13" x14ac:dyDescent="0.35">
      <c r="A1499">
        <v>103402</v>
      </c>
      <c r="B1499">
        <v>1549</v>
      </c>
      <c r="C1499" t="s">
        <v>602</v>
      </c>
      <c r="D1499" t="s">
        <v>1066</v>
      </c>
      <c r="E1499" t="s">
        <v>2936</v>
      </c>
      <c r="F1499">
        <v>4166604</v>
      </c>
      <c r="G1499">
        <v>222703</v>
      </c>
      <c r="H1499" t="s">
        <v>964</v>
      </c>
      <c r="I1499">
        <v>74</v>
      </c>
      <c r="J1499">
        <v>77</v>
      </c>
      <c r="K1499" t="s">
        <v>1068</v>
      </c>
      <c r="L1499" t="s">
        <v>1581</v>
      </c>
      <c r="M1499" t="s">
        <v>2937</v>
      </c>
    </row>
    <row r="1500" spans="1:13" x14ac:dyDescent="0.35">
      <c r="A1500">
        <v>101344</v>
      </c>
      <c r="B1500">
        <v>976</v>
      </c>
      <c r="C1500" t="s">
        <v>602</v>
      </c>
      <c r="D1500" t="s">
        <v>962</v>
      </c>
      <c r="E1500" t="s">
        <v>2938</v>
      </c>
      <c r="F1500">
        <v>3455</v>
      </c>
      <c r="G1500">
        <v>219779</v>
      </c>
      <c r="H1500" t="s">
        <v>964</v>
      </c>
      <c r="I1500">
        <v>74</v>
      </c>
      <c r="J1500">
        <v>74</v>
      </c>
      <c r="K1500" t="s">
        <v>979</v>
      </c>
      <c r="L1500" t="s">
        <v>965</v>
      </c>
      <c r="M1500" t="s">
        <v>2939</v>
      </c>
    </row>
    <row r="1501" spans="1:13" x14ac:dyDescent="0.35">
      <c r="A1501">
        <v>0</v>
      </c>
      <c r="B1501">
        <v>2802</v>
      </c>
      <c r="C1501" t="s">
        <v>602</v>
      </c>
      <c r="D1501" t="s">
        <v>1301</v>
      </c>
      <c r="E1501" t="s">
        <v>2940</v>
      </c>
      <c r="F1501">
        <v>7028</v>
      </c>
      <c r="I1501">
        <v>74</v>
      </c>
      <c r="J1501">
        <v>73</v>
      </c>
      <c r="M1501" t="s">
        <v>2940</v>
      </c>
    </row>
    <row r="1502" spans="1:13" x14ac:dyDescent="0.35">
      <c r="A1502">
        <v>103829</v>
      </c>
      <c r="B1502">
        <v>1647</v>
      </c>
      <c r="C1502" t="s">
        <v>602</v>
      </c>
      <c r="D1502" t="s">
        <v>1066</v>
      </c>
      <c r="E1502" t="s">
        <v>2941</v>
      </c>
      <c r="F1502">
        <v>4166511</v>
      </c>
      <c r="G1502">
        <v>220330</v>
      </c>
      <c r="H1502" t="s">
        <v>964</v>
      </c>
      <c r="I1502">
        <v>73</v>
      </c>
      <c r="J1502">
        <v>76</v>
      </c>
      <c r="K1502" t="s">
        <v>1068</v>
      </c>
      <c r="L1502" t="s">
        <v>1581</v>
      </c>
      <c r="M1502" t="s">
        <v>2942</v>
      </c>
    </row>
    <row r="1503" spans="1:13" x14ac:dyDescent="0.35">
      <c r="A1503">
        <v>0</v>
      </c>
      <c r="B1503">
        <v>3522</v>
      </c>
      <c r="C1503" t="s">
        <v>602</v>
      </c>
      <c r="D1503" t="s">
        <v>2943</v>
      </c>
      <c r="E1503" t="s">
        <v>2944</v>
      </c>
      <c r="G1503">
        <v>0</v>
      </c>
      <c r="H1503" t="s">
        <v>964</v>
      </c>
      <c r="I1503">
        <v>73</v>
      </c>
      <c r="J1503">
        <v>76</v>
      </c>
      <c r="M1503" t="s">
        <v>2944</v>
      </c>
    </row>
    <row r="1504" spans="1:13" x14ac:dyDescent="0.35">
      <c r="A1504">
        <v>0</v>
      </c>
      <c r="B1504">
        <v>2801</v>
      </c>
      <c r="C1504" t="s">
        <v>602</v>
      </c>
      <c r="D1504" t="s">
        <v>1301</v>
      </c>
      <c r="E1504" t="s">
        <v>2945</v>
      </c>
      <c r="F1504">
        <v>7027</v>
      </c>
      <c r="I1504">
        <v>73</v>
      </c>
      <c r="J1504">
        <v>72</v>
      </c>
      <c r="M1504" t="s">
        <v>2945</v>
      </c>
    </row>
    <row r="1505" spans="1:13" x14ac:dyDescent="0.35">
      <c r="A1505">
        <v>101335</v>
      </c>
      <c r="B1505">
        <v>971</v>
      </c>
      <c r="C1505" t="s">
        <v>602</v>
      </c>
      <c r="D1505" t="s">
        <v>962</v>
      </c>
      <c r="E1505" t="s">
        <v>2946</v>
      </c>
      <c r="F1505">
        <v>3434</v>
      </c>
      <c r="G1505">
        <v>219750</v>
      </c>
      <c r="H1505" t="s">
        <v>964</v>
      </c>
      <c r="I1505">
        <v>73</v>
      </c>
      <c r="J1505">
        <v>73</v>
      </c>
      <c r="K1505" t="s">
        <v>1051</v>
      </c>
      <c r="L1505" t="s">
        <v>965</v>
      </c>
      <c r="M1505" t="s">
        <v>2947</v>
      </c>
    </row>
    <row r="1506" spans="1:13" x14ac:dyDescent="0.35">
      <c r="A1506">
        <v>101366</v>
      </c>
      <c r="B1506">
        <v>993</v>
      </c>
      <c r="C1506" t="s">
        <v>602</v>
      </c>
      <c r="D1506" t="s">
        <v>962</v>
      </c>
      <c r="E1506" t="s">
        <v>2948</v>
      </c>
      <c r="F1506">
        <v>3492</v>
      </c>
      <c r="G1506">
        <v>219794</v>
      </c>
      <c r="H1506" t="s">
        <v>964</v>
      </c>
      <c r="I1506">
        <v>72</v>
      </c>
      <c r="J1506">
        <v>72</v>
      </c>
      <c r="K1506" t="s">
        <v>979</v>
      </c>
      <c r="L1506" t="s">
        <v>980</v>
      </c>
      <c r="M1506" t="s">
        <v>2949</v>
      </c>
    </row>
    <row r="1507" spans="1:13" x14ac:dyDescent="0.35">
      <c r="A1507">
        <v>103442</v>
      </c>
      <c r="B1507">
        <v>1585</v>
      </c>
      <c r="C1507" t="s">
        <v>602</v>
      </c>
      <c r="D1507" t="s">
        <v>1066</v>
      </c>
      <c r="E1507" t="s">
        <v>2950</v>
      </c>
      <c r="F1507">
        <v>4166557</v>
      </c>
      <c r="G1507">
        <v>217643</v>
      </c>
      <c r="H1507" t="s">
        <v>964</v>
      </c>
      <c r="I1507">
        <v>72</v>
      </c>
      <c r="J1507">
        <v>75</v>
      </c>
      <c r="K1507" t="s">
        <v>1068</v>
      </c>
      <c r="L1507" t="s">
        <v>965</v>
      </c>
      <c r="M1507" t="s">
        <v>2951</v>
      </c>
    </row>
    <row r="1508" spans="1:13" x14ac:dyDescent="0.35">
      <c r="A1508">
        <v>0</v>
      </c>
      <c r="B1508">
        <v>2800</v>
      </c>
      <c r="C1508" t="s">
        <v>602</v>
      </c>
      <c r="D1508" t="s">
        <v>1301</v>
      </c>
      <c r="E1508" t="s">
        <v>2952</v>
      </c>
      <c r="F1508">
        <v>7026</v>
      </c>
      <c r="I1508">
        <v>72</v>
      </c>
      <c r="J1508">
        <v>71</v>
      </c>
      <c r="M1508" t="s">
        <v>2952</v>
      </c>
    </row>
    <row r="1509" spans="1:13" x14ac:dyDescent="0.35">
      <c r="A1509">
        <v>0</v>
      </c>
      <c r="B1509">
        <v>3150</v>
      </c>
      <c r="C1509" t="s">
        <v>602</v>
      </c>
      <c r="D1509" t="s">
        <v>1243</v>
      </c>
      <c r="E1509" t="s">
        <v>2953</v>
      </c>
      <c r="F1509">
        <v>46</v>
      </c>
      <c r="G1509">
        <v>228720</v>
      </c>
      <c r="H1509" t="s">
        <v>964</v>
      </c>
      <c r="I1509">
        <v>71</v>
      </c>
      <c r="J1509">
        <v>74</v>
      </c>
      <c r="K1509" t="s">
        <v>1761</v>
      </c>
      <c r="M1509" t="s">
        <v>2953</v>
      </c>
    </row>
    <row r="1510" spans="1:13" x14ac:dyDescent="0.35">
      <c r="A1510">
        <v>0</v>
      </c>
      <c r="B1510">
        <v>2799</v>
      </c>
      <c r="C1510" t="s">
        <v>602</v>
      </c>
      <c r="D1510" t="s">
        <v>1301</v>
      </c>
      <c r="E1510" t="s">
        <v>2954</v>
      </c>
      <c r="F1510">
        <v>7025</v>
      </c>
      <c r="I1510">
        <v>71</v>
      </c>
      <c r="J1510">
        <v>70</v>
      </c>
      <c r="M1510" t="s">
        <v>2954</v>
      </c>
    </row>
    <row r="1511" spans="1:13" x14ac:dyDescent="0.35">
      <c r="A1511">
        <v>102070</v>
      </c>
      <c r="B1511">
        <v>1380</v>
      </c>
      <c r="C1511" t="s">
        <v>602</v>
      </c>
      <c r="D1511" t="s">
        <v>1066</v>
      </c>
      <c r="E1511" t="s">
        <v>2955</v>
      </c>
      <c r="F1511">
        <v>4166547</v>
      </c>
      <c r="G1511">
        <v>217610</v>
      </c>
      <c r="H1511" t="s">
        <v>964</v>
      </c>
      <c r="I1511">
        <v>71</v>
      </c>
      <c r="J1511">
        <v>74</v>
      </c>
      <c r="K1511" t="s">
        <v>1068</v>
      </c>
      <c r="L1511" t="s">
        <v>965</v>
      </c>
      <c r="M1511" t="s">
        <v>2956</v>
      </c>
    </row>
    <row r="1512" spans="1:13" x14ac:dyDescent="0.35">
      <c r="A1512">
        <v>101587</v>
      </c>
      <c r="B1512">
        <v>1180</v>
      </c>
      <c r="C1512" t="s">
        <v>602</v>
      </c>
      <c r="D1512" t="s">
        <v>962</v>
      </c>
      <c r="E1512" t="s">
        <v>2957</v>
      </c>
      <c r="F1512">
        <v>4041</v>
      </c>
      <c r="G1512">
        <v>222647</v>
      </c>
      <c r="H1512" t="s">
        <v>964</v>
      </c>
      <c r="I1512">
        <v>71</v>
      </c>
      <c r="J1512">
        <v>71</v>
      </c>
      <c r="K1512" t="s">
        <v>979</v>
      </c>
      <c r="L1512" t="s">
        <v>965</v>
      </c>
      <c r="M1512" t="s">
        <v>2958</v>
      </c>
    </row>
    <row r="1513" spans="1:13" x14ac:dyDescent="0.35">
      <c r="A1513">
        <v>0</v>
      </c>
      <c r="B1513">
        <v>2798</v>
      </c>
      <c r="C1513" t="s">
        <v>602</v>
      </c>
      <c r="D1513" t="s">
        <v>1301</v>
      </c>
      <c r="E1513" t="s">
        <v>2959</v>
      </c>
      <c r="F1513">
        <v>7024</v>
      </c>
      <c r="I1513">
        <v>70</v>
      </c>
      <c r="J1513">
        <v>69</v>
      </c>
      <c r="M1513" t="s">
        <v>2959</v>
      </c>
    </row>
    <row r="1514" spans="1:13" x14ac:dyDescent="0.35">
      <c r="A1514">
        <v>101283</v>
      </c>
      <c r="B1514">
        <v>1368</v>
      </c>
      <c r="C1514" t="s">
        <v>602</v>
      </c>
      <c r="D1514" t="s">
        <v>1066</v>
      </c>
      <c r="E1514" t="s">
        <v>2960</v>
      </c>
      <c r="F1514">
        <v>4166550</v>
      </c>
      <c r="G1514">
        <v>217614</v>
      </c>
      <c r="H1514" t="s">
        <v>964</v>
      </c>
      <c r="I1514">
        <v>70</v>
      </c>
      <c r="J1514">
        <v>73</v>
      </c>
      <c r="K1514" t="s">
        <v>1068</v>
      </c>
      <c r="L1514" t="s">
        <v>965</v>
      </c>
      <c r="M1514" t="s">
        <v>2961</v>
      </c>
    </row>
    <row r="1515" spans="1:13" x14ac:dyDescent="0.35">
      <c r="A1515">
        <v>0</v>
      </c>
      <c r="B1515">
        <v>3149</v>
      </c>
      <c r="C1515" t="s">
        <v>602</v>
      </c>
      <c r="D1515" t="s">
        <v>1243</v>
      </c>
      <c r="E1515" t="s">
        <v>2962</v>
      </c>
      <c r="F1515">
        <v>32</v>
      </c>
      <c r="G1515">
        <v>228730</v>
      </c>
      <c r="H1515" t="s">
        <v>964</v>
      </c>
      <c r="I1515">
        <v>70</v>
      </c>
      <c r="J1515">
        <v>73</v>
      </c>
      <c r="K1515" t="s">
        <v>1761</v>
      </c>
      <c r="M1515" t="s">
        <v>2962</v>
      </c>
    </row>
    <row r="1516" spans="1:13" x14ac:dyDescent="0.35">
      <c r="A1516">
        <v>101469</v>
      </c>
      <c r="B1516">
        <v>1070</v>
      </c>
      <c r="C1516" t="s">
        <v>602</v>
      </c>
      <c r="D1516" t="s">
        <v>962</v>
      </c>
      <c r="E1516" t="s">
        <v>2963</v>
      </c>
      <c r="F1516">
        <v>3549</v>
      </c>
      <c r="G1516">
        <v>220996</v>
      </c>
      <c r="H1516" t="s">
        <v>964</v>
      </c>
      <c r="I1516">
        <v>70</v>
      </c>
      <c r="J1516">
        <v>70</v>
      </c>
      <c r="K1516" t="s">
        <v>979</v>
      </c>
      <c r="L1516" t="s">
        <v>965</v>
      </c>
      <c r="M1516" t="s">
        <v>2964</v>
      </c>
    </row>
    <row r="1517" spans="1:13" x14ac:dyDescent="0.35">
      <c r="A1517">
        <v>102084</v>
      </c>
      <c r="B1517">
        <v>1388</v>
      </c>
      <c r="C1517" t="s">
        <v>602</v>
      </c>
      <c r="D1517" t="s">
        <v>1066</v>
      </c>
      <c r="E1517" t="s">
        <v>2965</v>
      </c>
      <c r="F1517">
        <v>4166556</v>
      </c>
      <c r="G1517">
        <v>23287</v>
      </c>
      <c r="H1517" t="s">
        <v>964</v>
      </c>
      <c r="I1517">
        <v>69</v>
      </c>
      <c r="J1517">
        <v>72</v>
      </c>
      <c r="K1517" t="s">
        <v>1068</v>
      </c>
      <c r="L1517" t="s">
        <v>965</v>
      </c>
      <c r="M1517" t="s">
        <v>2966</v>
      </c>
    </row>
    <row r="1518" spans="1:13" x14ac:dyDescent="0.35">
      <c r="A1518">
        <v>101467</v>
      </c>
      <c r="B1518">
        <v>1068</v>
      </c>
      <c r="C1518" t="s">
        <v>597</v>
      </c>
      <c r="D1518" t="s">
        <v>962</v>
      </c>
      <c r="E1518" t="s">
        <v>2967</v>
      </c>
      <c r="F1518">
        <v>3528</v>
      </c>
      <c r="G1518">
        <v>220692</v>
      </c>
      <c r="I1518">
        <v>69</v>
      </c>
      <c r="J1518">
        <v>69</v>
      </c>
      <c r="M1518" t="s">
        <v>2968</v>
      </c>
    </row>
    <row r="1519" spans="1:13" x14ac:dyDescent="0.35">
      <c r="A1519">
        <v>0</v>
      </c>
      <c r="B1519">
        <v>3148</v>
      </c>
      <c r="C1519" t="s">
        <v>602</v>
      </c>
      <c r="D1519" t="s">
        <v>1243</v>
      </c>
      <c r="E1519" t="s">
        <v>2969</v>
      </c>
      <c r="F1519">
        <v>54</v>
      </c>
      <c r="G1519">
        <v>228714</v>
      </c>
      <c r="H1519" t="s">
        <v>964</v>
      </c>
      <c r="I1519">
        <v>69</v>
      </c>
      <c r="J1519">
        <v>72</v>
      </c>
      <c r="K1519" t="s">
        <v>1761</v>
      </c>
      <c r="M1519" t="s">
        <v>2969</v>
      </c>
    </row>
    <row r="1520" spans="1:13" x14ac:dyDescent="0.35">
      <c r="A1520">
        <v>0</v>
      </c>
      <c r="B1520">
        <v>2797</v>
      </c>
      <c r="C1520" t="s">
        <v>602</v>
      </c>
      <c r="D1520" t="s">
        <v>1301</v>
      </c>
      <c r="E1520" t="s">
        <v>2970</v>
      </c>
      <c r="F1520">
        <v>7023</v>
      </c>
      <c r="I1520">
        <v>69</v>
      </c>
      <c r="J1520">
        <v>68</v>
      </c>
      <c r="M1520" t="s">
        <v>2970</v>
      </c>
    </row>
    <row r="1521" spans="1:13" x14ac:dyDescent="0.35">
      <c r="A1521">
        <v>0</v>
      </c>
      <c r="B1521">
        <v>3147</v>
      </c>
      <c r="C1521" t="s">
        <v>602</v>
      </c>
      <c r="D1521" t="s">
        <v>1243</v>
      </c>
      <c r="E1521" t="s">
        <v>2971</v>
      </c>
      <c r="F1521">
        <v>47</v>
      </c>
      <c r="G1521">
        <v>228719</v>
      </c>
      <c r="H1521" t="s">
        <v>964</v>
      </c>
      <c r="I1521">
        <v>68</v>
      </c>
      <c r="J1521">
        <v>71</v>
      </c>
      <c r="K1521" t="s">
        <v>1761</v>
      </c>
      <c r="M1521" t="s">
        <v>2971</v>
      </c>
    </row>
    <row r="1522" spans="1:13" x14ac:dyDescent="0.35">
      <c r="A1522">
        <v>102067</v>
      </c>
      <c r="B1522">
        <v>1377</v>
      </c>
      <c r="C1522" t="s">
        <v>602</v>
      </c>
      <c r="D1522" t="s">
        <v>1066</v>
      </c>
      <c r="E1522" t="s">
        <v>2972</v>
      </c>
      <c r="F1522">
        <v>4166554</v>
      </c>
      <c r="G1522">
        <v>217628</v>
      </c>
      <c r="H1522" t="s">
        <v>964</v>
      </c>
      <c r="I1522">
        <v>68</v>
      </c>
      <c r="J1522">
        <v>71</v>
      </c>
      <c r="K1522" t="s">
        <v>1068</v>
      </c>
      <c r="L1522" t="s">
        <v>965</v>
      </c>
      <c r="M1522" t="s">
        <v>2973</v>
      </c>
    </row>
    <row r="1523" spans="1:13" x14ac:dyDescent="0.35">
      <c r="A1523">
        <v>0</v>
      </c>
      <c r="B1523">
        <v>2796</v>
      </c>
      <c r="C1523" t="s">
        <v>602</v>
      </c>
      <c r="D1523" t="s">
        <v>1301</v>
      </c>
      <c r="E1523" t="s">
        <v>2974</v>
      </c>
      <c r="F1523">
        <v>7022</v>
      </c>
      <c r="I1523">
        <v>68</v>
      </c>
      <c r="J1523">
        <v>67</v>
      </c>
      <c r="M1523" t="s">
        <v>2974</v>
      </c>
    </row>
    <row r="1524" spans="1:13" x14ac:dyDescent="0.35">
      <c r="A1524">
        <v>101579</v>
      </c>
      <c r="B1524">
        <v>1172</v>
      </c>
      <c r="C1524" t="s">
        <v>602</v>
      </c>
      <c r="D1524" t="s">
        <v>962</v>
      </c>
      <c r="E1524" t="s">
        <v>2975</v>
      </c>
      <c r="F1524">
        <v>4009</v>
      </c>
      <c r="G1524">
        <v>222421</v>
      </c>
      <c r="H1524" t="s">
        <v>964</v>
      </c>
      <c r="I1524">
        <v>68</v>
      </c>
      <c r="J1524">
        <v>68</v>
      </c>
      <c r="K1524" t="s">
        <v>979</v>
      </c>
      <c r="L1524" t="s">
        <v>965</v>
      </c>
      <c r="M1524" t="s">
        <v>2976</v>
      </c>
    </row>
    <row r="1525" spans="1:13" x14ac:dyDescent="0.35">
      <c r="A1525">
        <v>0</v>
      </c>
      <c r="B1525">
        <v>2795</v>
      </c>
      <c r="C1525" t="s">
        <v>602</v>
      </c>
      <c r="D1525" t="s">
        <v>1301</v>
      </c>
      <c r="E1525" t="s">
        <v>2977</v>
      </c>
      <c r="F1525">
        <v>7021</v>
      </c>
      <c r="I1525">
        <v>67</v>
      </c>
      <c r="J1525">
        <v>66</v>
      </c>
      <c r="M1525" t="s">
        <v>2977</v>
      </c>
    </row>
    <row r="1526" spans="1:13" x14ac:dyDescent="0.35">
      <c r="A1526">
        <v>103505</v>
      </c>
      <c r="B1526">
        <v>1619</v>
      </c>
      <c r="C1526" t="s">
        <v>602</v>
      </c>
      <c r="D1526" t="s">
        <v>1066</v>
      </c>
      <c r="E1526" t="s">
        <v>2978</v>
      </c>
      <c r="F1526">
        <v>4167194</v>
      </c>
      <c r="G1526">
        <v>222858</v>
      </c>
      <c r="H1526" t="s">
        <v>964</v>
      </c>
      <c r="I1526">
        <v>67</v>
      </c>
      <c r="J1526">
        <v>70</v>
      </c>
      <c r="K1526" t="s">
        <v>1068</v>
      </c>
      <c r="L1526" t="s">
        <v>965</v>
      </c>
      <c r="M1526" t="s">
        <v>2979</v>
      </c>
    </row>
    <row r="1527" spans="1:13" x14ac:dyDescent="0.35">
      <c r="A1527">
        <v>0</v>
      </c>
      <c r="B1527">
        <v>3146</v>
      </c>
      <c r="C1527" t="s">
        <v>602</v>
      </c>
      <c r="D1527" t="s">
        <v>1243</v>
      </c>
      <c r="E1527" t="s">
        <v>2980</v>
      </c>
      <c r="F1527">
        <v>41</v>
      </c>
      <c r="G1527">
        <v>228724</v>
      </c>
      <c r="H1527" t="s">
        <v>964</v>
      </c>
      <c r="I1527">
        <v>67</v>
      </c>
      <c r="J1527">
        <v>70</v>
      </c>
      <c r="K1527" t="s">
        <v>2981</v>
      </c>
      <c r="M1527" t="s">
        <v>2980</v>
      </c>
    </row>
    <row r="1528" spans="1:13" x14ac:dyDescent="0.35">
      <c r="A1528">
        <v>101464</v>
      </c>
      <c r="B1528">
        <v>1065</v>
      </c>
      <c r="C1528" t="s">
        <v>602</v>
      </c>
      <c r="D1528" t="s">
        <v>962</v>
      </c>
      <c r="E1528" t="s">
        <v>2982</v>
      </c>
      <c r="F1528">
        <v>3527</v>
      </c>
      <c r="G1528">
        <v>220952</v>
      </c>
      <c r="H1528" t="s">
        <v>964</v>
      </c>
      <c r="I1528">
        <v>67</v>
      </c>
      <c r="J1528">
        <v>67</v>
      </c>
      <c r="K1528" t="s">
        <v>979</v>
      </c>
      <c r="L1528" t="s">
        <v>965</v>
      </c>
      <c r="M1528" t="s">
        <v>2983</v>
      </c>
    </row>
    <row r="1529" spans="1:13" x14ac:dyDescent="0.35">
      <c r="A1529">
        <v>0</v>
      </c>
      <c r="B1529">
        <v>3145</v>
      </c>
      <c r="C1529" t="s">
        <v>602</v>
      </c>
      <c r="D1529" t="s">
        <v>1243</v>
      </c>
      <c r="E1529" t="s">
        <v>2984</v>
      </c>
      <c r="F1529">
        <v>29</v>
      </c>
      <c r="G1529">
        <v>228733</v>
      </c>
      <c r="H1529" t="s">
        <v>964</v>
      </c>
      <c r="I1529">
        <v>66</v>
      </c>
      <c r="J1529">
        <v>69</v>
      </c>
      <c r="K1529" t="s">
        <v>2796</v>
      </c>
      <c r="M1529" t="s">
        <v>2984</v>
      </c>
    </row>
    <row r="1530" spans="1:13" x14ac:dyDescent="0.35">
      <c r="A1530">
        <v>103561</v>
      </c>
      <c r="B1530">
        <v>1195</v>
      </c>
      <c r="C1530" t="s">
        <v>602</v>
      </c>
      <c r="D1530" t="s">
        <v>962</v>
      </c>
      <c r="E1530" t="s">
        <v>2985</v>
      </c>
      <c r="F1530">
        <v>3783</v>
      </c>
      <c r="G1530">
        <v>222950</v>
      </c>
      <c r="H1530" t="s">
        <v>964</v>
      </c>
      <c r="I1530">
        <v>66</v>
      </c>
      <c r="J1530">
        <v>66</v>
      </c>
      <c r="K1530" t="s">
        <v>1051</v>
      </c>
      <c r="L1530" t="s">
        <v>965</v>
      </c>
      <c r="M1530" t="s">
        <v>2986</v>
      </c>
    </row>
    <row r="1531" spans="1:13" x14ac:dyDescent="0.35">
      <c r="A1531">
        <v>0</v>
      </c>
      <c r="B1531">
        <v>2794</v>
      </c>
      <c r="C1531" t="s">
        <v>602</v>
      </c>
      <c r="D1531" t="s">
        <v>1301</v>
      </c>
      <c r="E1531" t="s">
        <v>2987</v>
      </c>
      <c r="F1531">
        <v>7020</v>
      </c>
      <c r="I1531">
        <v>66</v>
      </c>
      <c r="J1531">
        <v>65</v>
      </c>
      <c r="M1531" t="s">
        <v>2987</v>
      </c>
    </row>
    <row r="1532" spans="1:13" x14ac:dyDescent="0.35">
      <c r="A1532">
        <v>103412</v>
      </c>
      <c r="B1532">
        <v>1559</v>
      </c>
      <c r="C1532" t="s">
        <v>602</v>
      </c>
      <c r="D1532" t="s">
        <v>1066</v>
      </c>
      <c r="E1532" t="s">
        <v>2988</v>
      </c>
      <c r="F1532">
        <v>4166567</v>
      </c>
      <c r="G1532">
        <v>217654</v>
      </c>
      <c r="H1532" t="s">
        <v>964</v>
      </c>
      <c r="I1532">
        <v>66</v>
      </c>
      <c r="J1532">
        <v>69</v>
      </c>
      <c r="K1532" t="s">
        <v>1068</v>
      </c>
      <c r="L1532" t="s">
        <v>965</v>
      </c>
      <c r="M1532" t="s">
        <v>2989</v>
      </c>
    </row>
    <row r="1533" spans="1:13" x14ac:dyDescent="0.35">
      <c r="A1533">
        <v>101571</v>
      </c>
      <c r="B1533">
        <v>1164</v>
      </c>
      <c r="C1533" t="s">
        <v>602</v>
      </c>
      <c r="D1533" t="s">
        <v>962</v>
      </c>
      <c r="E1533" t="s">
        <v>2990</v>
      </c>
      <c r="F1533">
        <v>3948</v>
      </c>
      <c r="G1533">
        <v>222233</v>
      </c>
      <c r="H1533" t="s">
        <v>964</v>
      </c>
      <c r="I1533">
        <v>65</v>
      </c>
      <c r="J1533">
        <v>65</v>
      </c>
      <c r="K1533" t="s">
        <v>979</v>
      </c>
      <c r="L1533" t="s">
        <v>965</v>
      </c>
      <c r="M1533" t="s">
        <v>2991</v>
      </c>
    </row>
    <row r="1534" spans="1:13" x14ac:dyDescent="0.35">
      <c r="A1534">
        <v>101309</v>
      </c>
      <c r="B1534">
        <v>1372</v>
      </c>
      <c r="C1534" t="s">
        <v>602</v>
      </c>
      <c r="D1534" t="s">
        <v>1066</v>
      </c>
      <c r="E1534" t="s">
        <v>2992</v>
      </c>
      <c r="F1534">
        <v>4166645</v>
      </c>
      <c r="G1534">
        <v>218019</v>
      </c>
      <c r="H1534" t="s">
        <v>964</v>
      </c>
      <c r="I1534">
        <v>65</v>
      </c>
      <c r="J1534">
        <v>68</v>
      </c>
      <c r="K1534" t="s">
        <v>1068</v>
      </c>
      <c r="L1534" t="s">
        <v>965</v>
      </c>
      <c r="M1534" t="s">
        <v>2993</v>
      </c>
    </row>
    <row r="1535" spans="1:13" x14ac:dyDescent="0.35">
      <c r="A1535">
        <v>0</v>
      </c>
      <c r="B1535">
        <v>2793</v>
      </c>
      <c r="C1535" t="s">
        <v>602</v>
      </c>
      <c r="D1535" t="s">
        <v>1301</v>
      </c>
      <c r="E1535" t="s">
        <v>2994</v>
      </c>
      <c r="F1535">
        <v>7019</v>
      </c>
      <c r="I1535">
        <v>65</v>
      </c>
      <c r="J1535">
        <v>64</v>
      </c>
      <c r="M1535" t="s">
        <v>2994</v>
      </c>
    </row>
    <row r="1536" spans="1:13" x14ac:dyDescent="0.35">
      <c r="A1536">
        <v>0</v>
      </c>
      <c r="B1536">
        <v>3144</v>
      </c>
      <c r="C1536" t="s">
        <v>602</v>
      </c>
      <c r="D1536" t="s">
        <v>1243</v>
      </c>
      <c r="E1536" t="s">
        <v>2995</v>
      </c>
      <c r="F1536">
        <v>24</v>
      </c>
      <c r="G1536">
        <v>228737</v>
      </c>
      <c r="H1536" t="s">
        <v>964</v>
      </c>
      <c r="I1536">
        <v>65</v>
      </c>
      <c r="J1536">
        <v>68</v>
      </c>
      <c r="K1536" t="s">
        <v>1761</v>
      </c>
      <c r="M1536" t="s">
        <v>2995</v>
      </c>
    </row>
    <row r="1537" spans="1:13" x14ac:dyDescent="0.35">
      <c r="A1537">
        <v>0</v>
      </c>
      <c r="B1537">
        <v>2792</v>
      </c>
      <c r="C1537" t="s">
        <v>602</v>
      </c>
      <c r="D1537" t="s">
        <v>1301</v>
      </c>
      <c r="E1537" t="s">
        <v>2996</v>
      </c>
      <c r="F1537">
        <v>7018</v>
      </c>
      <c r="I1537">
        <v>64</v>
      </c>
      <c r="J1537">
        <v>63</v>
      </c>
      <c r="M1537" t="s">
        <v>2996</v>
      </c>
    </row>
    <row r="1538" spans="1:13" x14ac:dyDescent="0.35">
      <c r="A1538">
        <v>102121</v>
      </c>
      <c r="B1538">
        <v>1415</v>
      </c>
      <c r="C1538" t="s">
        <v>602</v>
      </c>
      <c r="D1538" t="s">
        <v>1066</v>
      </c>
      <c r="E1538" t="s">
        <v>2997</v>
      </c>
      <c r="F1538">
        <v>4166541</v>
      </c>
      <c r="G1538">
        <v>217597</v>
      </c>
      <c r="H1538" t="s">
        <v>964</v>
      </c>
      <c r="I1538">
        <v>64</v>
      </c>
      <c r="J1538">
        <v>67</v>
      </c>
      <c r="K1538" t="s">
        <v>1068</v>
      </c>
      <c r="L1538" t="s">
        <v>965</v>
      </c>
      <c r="M1538" t="s">
        <v>2998</v>
      </c>
    </row>
    <row r="1539" spans="1:13" x14ac:dyDescent="0.35">
      <c r="A1539">
        <v>101564</v>
      </c>
      <c r="B1539">
        <v>1157</v>
      </c>
      <c r="C1539" t="s">
        <v>602</v>
      </c>
      <c r="D1539" t="s">
        <v>962</v>
      </c>
      <c r="E1539" t="s">
        <v>2999</v>
      </c>
      <c r="F1539">
        <v>4226</v>
      </c>
      <c r="G1539">
        <v>222151</v>
      </c>
      <c r="H1539" t="s">
        <v>964</v>
      </c>
      <c r="I1539">
        <v>64</v>
      </c>
      <c r="J1539">
        <v>64</v>
      </c>
      <c r="K1539" t="s">
        <v>979</v>
      </c>
      <c r="L1539" t="s">
        <v>965</v>
      </c>
      <c r="M1539" t="s">
        <v>3000</v>
      </c>
    </row>
    <row r="1540" spans="1:13" x14ac:dyDescent="0.35">
      <c r="A1540">
        <v>0</v>
      </c>
      <c r="B1540">
        <v>3143</v>
      </c>
      <c r="C1540" t="s">
        <v>597</v>
      </c>
      <c r="D1540" t="s">
        <v>1243</v>
      </c>
      <c r="E1540" t="s">
        <v>3001</v>
      </c>
      <c r="F1540">
        <v>21</v>
      </c>
      <c r="G1540">
        <v>228740</v>
      </c>
      <c r="H1540" t="s">
        <v>964</v>
      </c>
      <c r="I1540">
        <v>64</v>
      </c>
      <c r="J1540">
        <v>67</v>
      </c>
      <c r="K1540" t="s">
        <v>2796</v>
      </c>
      <c r="M1540" t="s">
        <v>3001</v>
      </c>
    </row>
    <row r="1541" spans="1:13" x14ac:dyDescent="0.35">
      <c r="A1541">
        <v>0</v>
      </c>
      <c r="B1541">
        <v>3142</v>
      </c>
      <c r="C1541" t="s">
        <v>602</v>
      </c>
      <c r="D1541" t="s">
        <v>1243</v>
      </c>
      <c r="E1541" t="s">
        <v>3002</v>
      </c>
      <c r="F1541">
        <v>16</v>
      </c>
      <c r="G1541">
        <v>228745</v>
      </c>
      <c r="H1541" t="s">
        <v>964</v>
      </c>
      <c r="I1541">
        <v>63</v>
      </c>
      <c r="J1541">
        <v>66</v>
      </c>
      <c r="K1541" t="s">
        <v>2796</v>
      </c>
      <c r="M1541" t="s">
        <v>3002</v>
      </c>
    </row>
    <row r="1542" spans="1:13" x14ac:dyDescent="0.35">
      <c r="A1542">
        <v>103591</v>
      </c>
      <c r="B1542">
        <v>1199</v>
      </c>
      <c r="C1542" t="s">
        <v>602</v>
      </c>
      <c r="D1542" t="s">
        <v>962</v>
      </c>
      <c r="E1542" t="s">
        <v>3003</v>
      </c>
      <c r="F1542">
        <v>3817</v>
      </c>
      <c r="G1542">
        <v>222996</v>
      </c>
      <c r="H1542" t="s">
        <v>964</v>
      </c>
      <c r="I1542">
        <v>63</v>
      </c>
      <c r="J1542">
        <v>63</v>
      </c>
      <c r="K1542" t="s">
        <v>979</v>
      </c>
      <c r="L1542" t="s">
        <v>965</v>
      </c>
      <c r="M1542" t="s">
        <v>3004</v>
      </c>
    </row>
    <row r="1543" spans="1:13" x14ac:dyDescent="0.35">
      <c r="A1543">
        <v>0</v>
      </c>
      <c r="B1543">
        <v>2791</v>
      </c>
      <c r="C1543" t="s">
        <v>602</v>
      </c>
      <c r="D1543" t="s">
        <v>1301</v>
      </c>
      <c r="E1543" t="s">
        <v>3005</v>
      </c>
      <c r="F1543">
        <v>7017</v>
      </c>
      <c r="I1543">
        <v>63</v>
      </c>
      <c r="J1543">
        <v>62</v>
      </c>
      <c r="M1543" t="s">
        <v>3005</v>
      </c>
    </row>
    <row r="1544" spans="1:13" x14ac:dyDescent="0.35">
      <c r="A1544">
        <v>103671</v>
      </c>
      <c r="B1544">
        <v>1636</v>
      </c>
      <c r="C1544" t="s">
        <v>602</v>
      </c>
      <c r="D1544" t="s">
        <v>1066</v>
      </c>
      <c r="E1544" t="s">
        <v>3006</v>
      </c>
      <c r="F1544">
        <v>4166676</v>
      </c>
      <c r="G1544">
        <v>223105</v>
      </c>
      <c r="H1544" t="s">
        <v>964</v>
      </c>
      <c r="I1544">
        <v>63</v>
      </c>
      <c r="J1544">
        <v>66</v>
      </c>
      <c r="K1544" t="s">
        <v>1068</v>
      </c>
      <c r="L1544" t="s">
        <v>965</v>
      </c>
      <c r="M1544" t="s">
        <v>3007</v>
      </c>
    </row>
    <row r="1545" spans="1:13" x14ac:dyDescent="0.35">
      <c r="A1545">
        <v>101329</v>
      </c>
      <c r="B1545">
        <v>966</v>
      </c>
      <c r="C1545" t="s">
        <v>602</v>
      </c>
      <c r="D1545" t="s">
        <v>962</v>
      </c>
      <c r="E1545" t="s">
        <v>3008</v>
      </c>
      <c r="F1545">
        <v>3445</v>
      </c>
      <c r="G1545">
        <v>219467</v>
      </c>
      <c r="H1545" t="s">
        <v>964</v>
      </c>
      <c r="I1545">
        <v>62</v>
      </c>
      <c r="J1545">
        <v>62</v>
      </c>
      <c r="K1545" t="s">
        <v>1051</v>
      </c>
      <c r="L1545" t="s">
        <v>965</v>
      </c>
      <c r="M1545" t="s">
        <v>3009</v>
      </c>
    </row>
    <row r="1546" spans="1:13" x14ac:dyDescent="0.35">
      <c r="A1546">
        <v>103670</v>
      </c>
      <c r="B1546">
        <v>1635</v>
      </c>
      <c r="C1546" t="s">
        <v>602</v>
      </c>
      <c r="D1546" t="s">
        <v>1066</v>
      </c>
      <c r="E1546" t="s">
        <v>3010</v>
      </c>
      <c r="F1546">
        <v>4166589</v>
      </c>
      <c r="G1546">
        <v>223104</v>
      </c>
      <c r="H1546" t="s">
        <v>964</v>
      </c>
      <c r="I1546">
        <v>62</v>
      </c>
      <c r="J1546">
        <v>65</v>
      </c>
      <c r="K1546" t="s">
        <v>1068</v>
      </c>
      <c r="L1546" t="s">
        <v>965</v>
      </c>
      <c r="M1546" t="s">
        <v>3011</v>
      </c>
    </row>
    <row r="1547" spans="1:13" x14ac:dyDescent="0.35">
      <c r="A1547">
        <v>0</v>
      </c>
      <c r="B1547">
        <v>3141</v>
      </c>
      <c r="C1547" t="s">
        <v>602</v>
      </c>
      <c r="D1547" t="s">
        <v>1243</v>
      </c>
      <c r="E1547" t="s">
        <v>3012</v>
      </c>
      <c r="F1547">
        <v>14</v>
      </c>
      <c r="G1547">
        <v>228747</v>
      </c>
      <c r="H1547" t="s">
        <v>964</v>
      </c>
      <c r="I1547">
        <v>62</v>
      </c>
      <c r="J1547">
        <v>65</v>
      </c>
      <c r="K1547" t="s">
        <v>2796</v>
      </c>
      <c r="M1547" t="s">
        <v>3012</v>
      </c>
    </row>
    <row r="1548" spans="1:13" x14ac:dyDescent="0.35">
      <c r="A1548">
        <v>0</v>
      </c>
      <c r="B1548">
        <v>2790</v>
      </c>
      <c r="C1548" t="s">
        <v>602</v>
      </c>
      <c r="D1548" t="s">
        <v>1301</v>
      </c>
      <c r="E1548" t="s">
        <v>3013</v>
      </c>
      <c r="F1548">
        <v>7016</v>
      </c>
      <c r="I1548">
        <v>62</v>
      </c>
      <c r="J1548">
        <v>61</v>
      </c>
      <c r="M1548" t="s">
        <v>3013</v>
      </c>
    </row>
    <row r="1549" spans="1:13" x14ac:dyDescent="0.35">
      <c r="A1549">
        <v>103768</v>
      </c>
      <c r="B1549">
        <v>1216</v>
      </c>
      <c r="C1549" t="s">
        <v>602</v>
      </c>
      <c r="D1549" t="s">
        <v>962</v>
      </c>
      <c r="E1549" t="s">
        <v>3014</v>
      </c>
      <c r="F1549">
        <v>4714</v>
      </c>
      <c r="G1549">
        <v>225142</v>
      </c>
      <c r="H1549" t="s">
        <v>964</v>
      </c>
      <c r="I1549">
        <v>61</v>
      </c>
      <c r="J1549">
        <v>61</v>
      </c>
      <c r="K1549" t="s">
        <v>979</v>
      </c>
      <c r="L1549" t="s">
        <v>980</v>
      </c>
      <c r="M1549" t="s">
        <v>3015</v>
      </c>
    </row>
    <row r="1550" spans="1:13" x14ac:dyDescent="0.35">
      <c r="A1550">
        <v>104276</v>
      </c>
      <c r="B1550">
        <v>1696</v>
      </c>
      <c r="C1550" t="s">
        <v>602</v>
      </c>
      <c r="D1550" t="s">
        <v>1066</v>
      </c>
      <c r="E1550" t="s">
        <v>3016</v>
      </c>
      <c r="F1550">
        <v>4166595</v>
      </c>
      <c r="G1550">
        <v>227641</v>
      </c>
      <c r="H1550" t="s">
        <v>964</v>
      </c>
      <c r="I1550">
        <v>61</v>
      </c>
      <c r="J1550">
        <v>64</v>
      </c>
      <c r="K1550" t="s">
        <v>1068</v>
      </c>
      <c r="L1550" t="s">
        <v>965</v>
      </c>
      <c r="M1550" t="s">
        <v>3017</v>
      </c>
    </row>
    <row r="1551" spans="1:13" x14ac:dyDescent="0.35">
      <c r="A1551">
        <v>0</v>
      </c>
      <c r="B1551">
        <v>3140</v>
      </c>
      <c r="C1551" t="s">
        <v>602</v>
      </c>
      <c r="D1551" t="s">
        <v>1243</v>
      </c>
      <c r="E1551" t="s">
        <v>3018</v>
      </c>
      <c r="F1551">
        <v>8</v>
      </c>
      <c r="G1551">
        <v>228753</v>
      </c>
      <c r="H1551" t="s">
        <v>964</v>
      </c>
      <c r="I1551">
        <v>61</v>
      </c>
      <c r="J1551">
        <v>64</v>
      </c>
      <c r="K1551" t="s">
        <v>2796</v>
      </c>
      <c r="M1551" t="s">
        <v>3018</v>
      </c>
    </row>
    <row r="1552" spans="1:13" x14ac:dyDescent="0.35">
      <c r="A1552">
        <v>0</v>
      </c>
      <c r="B1552">
        <v>2789</v>
      </c>
      <c r="C1552" t="s">
        <v>602</v>
      </c>
      <c r="D1552" t="s">
        <v>1301</v>
      </c>
      <c r="E1552" t="s">
        <v>3019</v>
      </c>
      <c r="F1552">
        <v>7015</v>
      </c>
      <c r="I1552">
        <v>61</v>
      </c>
      <c r="J1552">
        <v>60</v>
      </c>
      <c r="M1552" t="s">
        <v>3019</v>
      </c>
    </row>
    <row r="1553" spans="1:13" x14ac:dyDescent="0.35">
      <c r="A1553">
        <v>103415</v>
      </c>
      <c r="B1553">
        <v>1561</v>
      </c>
      <c r="C1553" t="s">
        <v>602</v>
      </c>
      <c r="D1553" t="s">
        <v>1066</v>
      </c>
      <c r="E1553" t="s">
        <v>3020</v>
      </c>
      <c r="F1553">
        <v>4167152</v>
      </c>
      <c r="G1553">
        <v>1731</v>
      </c>
      <c r="H1553" t="s">
        <v>964</v>
      </c>
      <c r="I1553">
        <v>60</v>
      </c>
      <c r="J1553">
        <v>63</v>
      </c>
      <c r="K1553" t="s">
        <v>1068</v>
      </c>
      <c r="L1553" t="s">
        <v>965</v>
      </c>
      <c r="M1553" t="s">
        <v>3021</v>
      </c>
    </row>
    <row r="1554" spans="1:13" x14ac:dyDescent="0.35">
      <c r="A1554">
        <v>0</v>
      </c>
      <c r="B1554">
        <v>2788</v>
      </c>
      <c r="C1554" t="s">
        <v>602</v>
      </c>
      <c r="D1554" t="s">
        <v>1301</v>
      </c>
      <c r="E1554" t="s">
        <v>3022</v>
      </c>
      <c r="F1554">
        <v>7014</v>
      </c>
      <c r="I1554">
        <v>60</v>
      </c>
      <c r="J1554">
        <v>59</v>
      </c>
      <c r="M1554" t="s">
        <v>3022</v>
      </c>
    </row>
    <row r="1555" spans="1:13" x14ac:dyDescent="0.35">
      <c r="A1555">
        <v>0</v>
      </c>
      <c r="B1555">
        <v>3139</v>
      </c>
      <c r="C1555" t="s">
        <v>602</v>
      </c>
      <c r="D1555" t="s">
        <v>1243</v>
      </c>
      <c r="E1555" t="s">
        <v>3023</v>
      </c>
      <c r="F1555">
        <v>7</v>
      </c>
      <c r="G1555">
        <v>228754</v>
      </c>
      <c r="H1555" t="s">
        <v>964</v>
      </c>
      <c r="I1555">
        <v>60</v>
      </c>
      <c r="J1555">
        <v>63</v>
      </c>
      <c r="K1555" t="s">
        <v>2796</v>
      </c>
      <c r="M1555" t="s">
        <v>3024</v>
      </c>
    </row>
    <row r="1556" spans="1:13" x14ac:dyDescent="0.35">
      <c r="A1556">
        <v>103686</v>
      </c>
      <c r="B1556">
        <v>1205</v>
      </c>
      <c r="C1556" t="s">
        <v>602</v>
      </c>
      <c r="D1556" t="s">
        <v>962</v>
      </c>
      <c r="E1556" t="s">
        <v>3025</v>
      </c>
      <c r="F1556">
        <v>4821</v>
      </c>
      <c r="G1556">
        <v>223150</v>
      </c>
      <c r="H1556" t="s">
        <v>964</v>
      </c>
      <c r="I1556">
        <v>60</v>
      </c>
      <c r="J1556">
        <v>60</v>
      </c>
      <c r="K1556" t="s">
        <v>979</v>
      </c>
      <c r="L1556" t="s">
        <v>965</v>
      </c>
      <c r="M1556" t="s">
        <v>3026</v>
      </c>
    </row>
    <row r="1557" spans="1:13" x14ac:dyDescent="0.35">
      <c r="A1557">
        <v>101560</v>
      </c>
      <c r="B1557">
        <v>1153</v>
      </c>
      <c r="C1557" t="s">
        <v>602</v>
      </c>
      <c r="D1557" t="s">
        <v>962</v>
      </c>
      <c r="E1557" t="s">
        <v>3027</v>
      </c>
      <c r="F1557">
        <v>3774</v>
      </c>
      <c r="G1557">
        <v>222119</v>
      </c>
      <c r="H1557" t="s">
        <v>964</v>
      </c>
      <c r="I1557">
        <v>59</v>
      </c>
      <c r="J1557">
        <v>59</v>
      </c>
      <c r="K1557" t="s">
        <v>979</v>
      </c>
      <c r="L1557" t="s">
        <v>965</v>
      </c>
      <c r="M1557" t="s">
        <v>3028</v>
      </c>
    </row>
    <row r="1558" spans="1:13" x14ac:dyDescent="0.35">
      <c r="A1558">
        <v>0</v>
      </c>
      <c r="B1558">
        <v>2787</v>
      </c>
      <c r="C1558" t="s">
        <v>602</v>
      </c>
      <c r="D1558" t="s">
        <v>1301</v>
      </c>
      <c r="E1558" t="s">
        <v>3029</v>
      </c>
      <c r="F1558">
        <v>7013</v>
      </c>
      <c r="I1558">
        <v>59</v>
      </c>
      <c r="J1558">
        <v>58</v>
      </c>
      <c r="M1558" t="s">
        <v>3029</v>
      </c>
    </row>
    <row r="1559" spans="1:13" x14ac:dyDescent="0.35">
      <c r="A1559">
        <v>104201</v>
      </c>
      <c r="B1559">
        <v>1690</v>
      </c>
      <c r="C1559" t="s">
        <v>602</v>
      </c>
      <c r="D1559" t="s">
        <v>1066</v>
      </c>
      <c r="E1559" t="s">
        <v>3030</v>
      </c>
      <c r="F1559">
        <v>4166653</v>
      </c>
      <c r="G1559">
        <v>223122</v>
      </c>
      <c r="H1559" t="s">
        <v>964</v>
      </c>
      <c r="I1559">
        <v>59</v>
      </c>
      <c r="J1559">
        <v>62</v>
      </c>
      <c r="K1559" t="s">
        <v>1068</v>
      </c>
      <c r="L1559" t="s">
        <v>965</v>
      </c>
      <c r="M1559" t="s">
        <v>3031</v>
      </c>
    </row>
    <row r="1560" spans="1:13" x14ac:dyDescent="0.35">
      <c r="A1560">
        <v>0</v>
      </c>
      <c r="B1560">
        <v>3138</v>
      </c>
      <c r="C1560" t="s">
        <v>602</v>
      </c>
      <c r="D1560" t="s">
        <v>1243</v>
      </c>
      <c r="E1560" t="s">
        <v>3032</v>
      </c>
      <c r="F1560">
        <v>4</v>
      </c>
      <c r="G1560">
        <v>228756</v>
      </c>
      <c r="H1560" t="s">
        <v>964</v>
      </c>
      <c r="I1560">
        <v>59</v>
      </c>
      <c r="J1560">
        <v>62</v>
      </c>
      <c r="K1560" t="s">
        <v>1312</v>
      </c>
      <c r="M1560" t="s">
        <v>3032</v>
      </c>
    </row>
    <row r="1561" spans="1:13" x14ac:dyDescent="0.35">
      <c r="A1561">
        <v>0</v>
      </c>
      <c r="B1561">
        <v>2786</v>
      </c>
      <c r="C1561" t="s">
        <v>602</v>
      </c>
      <c r="D1561" t="s">
        <v>1301</v>
      </c>
      <c r="E1561" t="s">
        <v>3033</v>
      </c>
      <c r="F1561">
        <v>7012</v>
      </c>
      <c r="I1561">
        <v>58</v>
      </c>
      <c r="J1561">
        <v>57</v>
      </c>
      <c r="M1561" t="s">
        <v>3033</v>
      </c>
    </row>
    <row r="1562" spans="1:13" x14ac:dyDescent="0.35">
      <c r="A1562">
        <v>0</v>
      </c>
      <c r="B1562">
        <v>3137</v>
      </c>
      <c r="C1562" t="s">
        <v>602</v>
      </c>
      <c r="D1562" t="s">
        <v>1243</v>
      </c>
      <c r="E1562" t="s">
        <v>3034</v>
      </c>
      <c r="F1562">
        <v>3</v>
      </c>
      <c r="G1562">
        <v>228757</v>
      </c>
      <c r="H1562" t="s">
        <v>964</v>
      </c>
      <c r="I1562">
        <v>58</v>
      </c>
      <c r="J1562">
        <v>61</v>
      </c>
      <c r="K1562" t="s">
        <v>2796</v>
      </c>
      <c r="M1562" t="s">
        <v>3034</v>
      </c>
    </row>
    <row r="1563" spans="1:13" x14ac:dyDescent="0.35">
      <c r="A1563">
        <v>101544</v>
      </c>
      <c r="B1563">
        <v>1137</v>
      </c>
      <c r="C1563" t="s">
        <v>602</v>
      </c>
      <c r="D1563" t="s">
        <v>962</v>
      </c>
      <c r="E1563" t="s">
        <v>3035</v>
      </c>
      <c r="F1563">
        <v>3734</v>
      </c>
      <c r="G1563">
        <v>221954</v>
      </c>
      <c r="H1563" t="s">
        <v>964</v>
      </c>
      <c r="I1563">
        <v>58</v>
      </c>
      <c r="J1563">
        <v>58</v>
      </c>
      <c r="K1563" t="s">
        <v>979</v>
      </c>
      <c r="L1563" t="s">
        <v>965</v>
      </c>
      <c r="M1563" t="s">
        <v>3036</v>
      </c>
    </row>
    <row r="1564" spans="1:13" x14ac:dyDescent="0.35">
      <c r="A1564">
        <v>102082</v>
      </c>
      <c r="B1564">
        <v>1387</v>
      </c>
      <c r="C1564" t="s">
        <v>602</v>
      </c>
      <c r="D1564" t="s">
        <v>1066</v>
      </c>
      <c r="E1564" t="s">
        <v>3037</v>
      </c>
      <c r="F1564">
        <v>4166602</v>
      </c>
      <c r="G1564">
        <v>220513</v>
      </c>
      <c r="H1564" t="s">
        <v>964</v>
      </c>
      <c r="I1564">
        <v>58</v>
      </c>
      <c r="J1564">
        <v>61</v>
      </c>
      <c r="K1564" t="s">
        <v>1068</v>
      </c>
      <c r="L1564" t="s">
        <v>965</v>
      </c>
      <c r="M1564" t="s">
        <v>3038</v>
      </c>
    </row>
    <row r="1565" spans="1:13" x14ac:dyDescent="0.35">
      <c r="A1565">
        <v>103454</v>
      </c>
      <c r="B1565">
        <v>1590</v>
      </c>
      <c r="C1565" t="s">
        <v>602</v>
      </c>
      <c r="D1565" t="s">
        <v>1066</v>
      </c>
      <c r="E1565" t="s">
        <v>3039</v>
      </c>
      <c r="F1565">
        <v>4166658</v>
      </c>
      <c r="G1565">
        <v>222765</v>
      </c>
      <c r="H1565" t="s">
        <v>964</v>
      </c>
      <c r="I1565">
        <v>57</v>
      </c>
      <c r="J1565">
        <v>60</v>
      </c>
      <c r="K1565" t="s">
        <v>1068</v>
      </c>
      <c r="L1565" t="s">
        <v>965</v>
      </c>
      <c r="M1565" t="s">
        <v>3040</v>
      </c>
    </row>
    <row r="1566" spans="1:13" x14ac:dyDescent="0.35">
      <c r="A1566">
        <v>0</v>
      </c>
      <c r="B1566">
        <v>3136</v>
      </c>
      <c r="C1566" t="s">
        <v>602</v>
      </c>
      <c r="D1566" t="s">
        <v>1243</v>
      </c>
      <c r="E1566" t="s">
        <v>3041</v>
      </c>
      <c r="F1566">
        <v>1</v>
      </c>
      <c r="G1566">
        <v>228759</v>
      </c>
      <c r="H1566" t="s">
        <v>964</v>
      </c>
      <c r="I1566">
        <v>57</v>
      </c>
      <c r="J1566">
        <v>60</v>
      </c>
      <c r="K1566" t="s">
        <v>2796</v>
      </c>
      <c r="M1566" t="s">
        <v>3041</v>
      </c>
    </row>
    <row r="1567" spans="1:13" x14ac:dyDescent="0.35">
      <c r="A1567">
        <v>0</v>
      </c>
      <c r="B1567">
        <v>2785</v>
      </c>
      <c r="C1567" t="s">
        <v>602</v>
      </c>
      <c r="D1567" t="s">
        <v>1301</v>
      </c>
      <c r="E1567" t="s">
        <v>3042</v>
      </c>
      <c r="F1567">
        <v>7011</v>
      </c>
      <c r="I1567">
        <v>57</v>
      </c>
      <c r="J1567">
        <v>56</v>
      </c>
      <c r="M1567" t="s">
        <v>3042</v>
      </c>
    </row>
    <row r="1568" spans="1:13" x14ac:dyDescent="0.35">
      <c r="A1568">
        <v>101495</v>
      </c>
      <c r="B1568">
        <v>1093</v>
      </c>
      <c r="C1568" t="s">
        <v>602</v>
      </c>
      <c r="D1568" t="s">
        <v>962</v>
      </c>
      <c r="E1568" t="s">
        <v>3043</v>
      </c>
      <c r="F1568">
        <v>3716</v>
      </c>
      <c r="G1568">
        <v>221483</v>
      </c>
      <c r="H1568" t="s">
        <v>964</v>
      </c>
      <c r="I1568">
        <v>57</v>
      </c>
      <c r="J1568">
        <v>57</v>
      </c>
      <c r="K1568" t="s">
        <v>979</v>
      </c>
      <c r="L1568" t="s">
        <v>965</v>
      </c>
      <c r="M1568" t="s">
        <v>3044</v>
      </c>
    </row>
    <row r="1569" spans="1:13" x14ac:dyDescent="0.35">
      <c r="A1569">
        <v>103420</v>
      </c>
      <c r="B1569">
        <v>1565</v>
      </c>
      <c r="C1569" t="s">
        <v>602</v>
      </c>
      <c r="D1569" t="s">
        <v>1066</v>
      </c>
      <c r="E1569" t="s">
        <v>3045</v>
      </c>
      <c r="F1569">
        <v>4166673</v>
      </c>
      <c r="G1569">
        <v>222721</v>
      </c>
      <c r="H1569" t="s">
        <v>964</v>
      </c>
      <c r="I1569">
        <v>56</v>
      </c>
      <c r="J1569">
        <v>59</v>
      </c>
      <c r="K1569" t="s">
        <v>1068</v>
      </c>
      <c r="L1569" t="s">
        <v>980</v>
      </c>
      <c r="M1569" t="s">
        <v>3046</v>
      </c>
    </row>
    <row r="1570" spans="1:13" x14ac:dyDescent="0.35">
      <c r="A1570">
        <v>101324</v>
      </c>
      <c r="B1570">
        <v>962</v>
      </c>
      <c r="C1570" t="s">
        <v>602</v>
      </c>
      <c r="D1570" t="s">
        <v>962</v>
      </c>
      <c r="E1570" t="s">
        <v>3047</v>
      </c>
      <c r="F1570">
        <v>3411</v>
      </c>
      <c r="G1570">
        <v>219770</v>
      </c>
      <c r="H1570" t="s">
        <v>964</v>
      </c>
      <c r="I1570">
        <v>56</v>
      </c>
      <c r="J1570">
        <v>56</v>
      </c>
      <c r="K1570" t="s">
        <v>979</v>
      </c>
      <c r="L1570" t="s">
        <v>965</v>
      </c>
      <c r="M1570" t="s">
        <v>3048</v>
      </c>
    </row>
    <row r="1571" spans="1:13" x14ac:dyDescent="0.35">
      <c r="A1571">
        <v>0</v>
      </c>
      <c r="B1571">
        <v>2784</v>
      </c>
      <c r="C1571" t="s">
        <v>602</v>
      </c>
      <c r="D1571" t="s">
        <v>1301</v>
      </c>
      <c r="E1571" t="s">
        <v>3049</v>
      </c>
      <c r="F1571">
        <v>7010</v>
      </c>
      <c r="I1571">
        <v>56</v>
      </c>
      <c r="J1571">
        <v>55</v>
      </c>
      <c r="M1571" t="s">
        <v>3049</v>
      </c>
    </row>
    <row r="1572" spans="1:13" x14ac:dyDescent="0.35">
      <c r="A1572">
        <v>103403</v>
      </c>
      <c r="B1572">
        <v>1550</v>
      </c>
      <c r="C1572" t="s">
        <v>602</v>
      </c>
      <c r="D1572" t="s">
        <v>1066</v>
      </c>
      <c r="E1572" t="s">
        <v>3050</v>
      </c>
      <c r="F1572">
        <v>4166647</v>
      </c>
      <c r="G1572">
        <v>222702</v>
      </c>
      <c r="H1572" t="s">
        <v>964</v>
      </c>
      <c r="I1572">
        <v>55</v>
      </c>
      <c r="J1572">
        <v>58</v>
      </c>
      <c r="K1572" t="s">
        <v>1068</v>
      </c>
      <c r="L1572" t="s">
        <v>1581</v>
      </c>
      <c r="M1572" t="s">
        <v>3051</v>
      </c>
    </row>
    <row r="1573" spans="1:13" x14ac:dyDescent="0.35">
      <c r="A1573">
        <v>0</v>
      </c>
      <c r="B1573">
        <v>2783</v>
      </c>
      <c r="C1573" t="s">
        <v>602</v>
      </c>
      <c r="D1573" t="s">
        <v>1301</v>
      </c>
      <c r="E1573" t="s">
        <v>3052</v>
      </c>
      <c r="F1573">
        <v>7009</v>
      </c>
      <c r="I1573">
        <v>55</v>
      </c>
      <c r="J1573">
        <v>54</v>
      </c>
      <c r="M1573" t="s">
        <v>3052</v>
      </c>
    </row>
    <row r="1574" spans="1:13" x14ac:dyDescent="0.35">
      <c r="A1574">
        <v>0</v>
      </c>
      <c r="B1574">
        <v>3134</v>
      </c>
      <c r="C1574" t="s">
        <v>602</v>
      </c>
      <c r="D1574" t="s">
        <v>1243</v>
      </c>
      <c r="E1574" t="s">
        <v>3053</v>
      </c>
      <c r="F1574">
        <v>27</v>
      </c>
      <c r="G1574">
        <v>228735</v>
      </c>
      <c r="H1574" t="s">
        <v>964</v>
      </c>
      <c r="I1574">
        <v>55</v>
      </c>
      <c r="J1574">
        <v>58</v>
      </c>
      <c r="K1574" t="s">
        <v>2796</v>
      </c>
      <c r="M1574" t="s">
        <v>3053</v>
      </c>
    </row>
    <row r="1575" spans="1:13" x14ac:dyDescent="0.35">
      <c r="A1575">
        <v>102089</v>
      </c>
      <c r="B1575">
        <v>1390</v>
      </c>
      <c r="C1575" t="s">
        <v>602</v>
      </c>
      <c r="D1575" t="s">
        <v>1066</v>
      </c>
      <c r="E1575" t="s">
        <v>3054</v>
      </c>
      <c r="F1575">
        <v>4166573</v>
      </c>
      <c r="G1575">
        <v>217670</v>
      </c>
      <c r="H1575" t="s">
        <v>964</v>
      </c>
      <c r="I1575">
        <v>54</v>
      </c>
      <c r="J1575">
        <v>57</v>
      </c>
      <c r="K1575" t="s">
        <v>1068</v>
      </c>
      <c r="L1575" t="s">
        <v>965</v>
      </c>
      <c r="M1575" t="s">
        <v>3055</v>
      </c>
    </row>
    <row r="1576" spans="1:13" x14ac:dyDescent="0.35">
      <c r="A1576">
        <v>0</v>
      </c>
      <c r="B1576">
        <v>2782</v>
      </c>
      <c r="C1576" t="s">
        <v>602</v>
      </c>
      <c r="D1576" t="s">
        <v>1301</v>
      </c>
      <c r="E1576" t="s">
        <v>3056</v>
      </c>
      <c r="F1576">
        <v>7008</v>
      </c>
      <c r="I1576">
        <v>54</v>
      </c>
      <c r="J1576">
        <v>53</v>
      </c>
      <c r="M1576" t="s">
        <v>3056</v>
      </c>
    </row>
    <row r="1577" spans="1:13" x14ac:dyDescent="0.35">
      <c r="A1577">
        <v>101407</v>
      </c>
      <c r="B1577">
        <v>1027</v>
      </c>
      <c r="C1577" t="s">
        <v>602</v>
      </c>
      <c r="D1577" t="s">
        <v>962</v>
      </c>
      <c r="E1577" t="s">
        <v>3057</v>
      </c>
      <c r="F1577">
        <v>3468</v>
      </c>
      <c r="G1577">
        <v>220905</v>
      </c>
      <c r="H1577" t="s">
        <v>964</v>
      </c>
      <c r="I1577">
        <v>54</v>
      </c>
      <c r="J1577">
        <v>54</v>
      </c>
      <c r="K1577" t="s">
        <v>979</v>
      </c>
      <c r="L1577" t="s">
        <v>965</v>
      </c>
      <c r="M1577" t="s">
        <v>3058</v>
      </c>
    </row>
    <row r="1578" spans="1:13" x14ac:dyDescent="0.35">
      <c r="A1578">
        <v>0</v>
      </c>
      <c r="B1578">
        <v>3133</v>
      </c>
      <c r="C1578" t="s">
        <v>602</v>
      </c>
      <c r="D1578" t="s">
        <v>1243</v>
      </c>
      <c r="E1578" t="s">
        <v>3059</v>
      </c>
      <c r="F1578">
        <v>25</v>
      </c>
      <c r="G1578">
        <v>228736</v>
      </c>
      <c r="H1578" t="s">
        <v>964</v>
      </c>
      <c r="I1578">
        <v>54</v>
      </c>
      <c r="J1578">
        <v>57</v>
      </c>
      <c r="K1578" t="s">
        <v>2796</v>
      </c>
      <c r="M1578" t="s">
        <v>3059</v>
      </c>
    </row>
    <row r="1579" spans="1:13" x14ac:dyDescent="0.35">
      <c r="A1579">
        <v>101352</v>
      </c>
      <c r="B1579">
        <v>983</v>
      </c>
      <c r="C1579" t="s">
        <v>602</v>
      </c>
      <c r="D1579" t="s">
        <v>962</v>
      </c>
      <c r="E1579" t="s">
        <v>3060</v>
      </c>
      <c r="F1579">
        <v>3432</v>
      </c>
      <c r="G1579">
        <v>219730</v>
      </c>
      <c r="H1579" t="s">
        <v>964</v>
      </c>
      <c r="I1579">
        <v>53</v>
      </c>
      <c r="J1579">
        <v>53</v>
      </c>
      <c r="K1579" t="s">
        <v>979</v>
      </c>
      <c r="L1579" t="s">
        <v>965</v>
      </c>
      <c r="M1579" t="s">
        <v>3061</v>
      </c>
    </row>
    <row r="1580" spans="1:13" x14ac:dyDescent="0.35">
      <c r="A1580">
        <v>0</v>
      </c>
      <c r="B1580">
        <v>2781</v>
      </c>
      <c r="C1580" t="s">
        <v>602</v>
      </c>
      <c r="D1580" t="s">
        <v>1301</v>
      </c>
      <c r="E1580" t="s">
        <v>3062</v>
      </c>
      <c r="F1580">
        <v>7007</v>
      </c>
      <c r="I1580">
        <v>53</v>
      </c>
      <c r="J1580">
        <v>52</v>
      </c>
      <c r="M1580" t="s">
        <v>3062</v>
      </c>
    </row>
    <row r="1581" spans="1:13" x14ac:dyDescent="0.35">
      <c r="A1581">
        <v>103475</v>
      </c>
      <c r="B1581">
        <v>1602</v>
      </c>
      <c r="C1581" t="s">
        <v>597</v>
      </c>
      <c r="D1581" t="s">
        <v>1066</v>
      </c>
      <c r="E1581" t="s">
        <v>3063</v>
      </c>
      <c r="F1581">
        <v>4166630</v>
      </c>
      <c r="G1581">
        <v>220681</v>
      </c>
      <c r="H1581" t="s">
        <v>964</v>
      </c>
      <c r="I1581">
        <v>53</v>
      </c>
      <c r="J1581">
        <v>56</v>
      </c>
      <c r="K1581" t="s">
        <v>1820</v>
      </c>
      <c r="L1581" t="s">
        <v>965</v>
      </c>
      <c r="M1581" t="s">
        <v>3064</v>
      </c>
    </row>
    <row r="1582" spans="1:13" x14ac:dyDescent="0.35">
      <c r="A1582">
        <v>0</v>
      </c>
      <c r="B1582">
        <v>3132</v>
      </c>
      <c r="C1582" t="s">
        <v>602</v>
      </c>
      <c r="D1582" t="s">
        <v>1243</v>
      </c>
      <c r="E1582" t="s">
        <v>3065</v>
      </c>
      <c r="F1582">
        <v>23</v>
      </c>
      <c r="G1582">
        <v>228738</v>
      </c>
      <c r="H1582" t="s">
        <v>964</v>
      </c>
      <c r="I1582">
        <v>53</v>
      </c>
      <c r="J1582">
        <v>56</v>
      </c>
      <c r="K1582" t="s">
        <v>2796</v>
      </c>
      <c r="M1582" t="s">
        <v>3065</v>
      </c>
    </row>
    <row r="1583" spans="1:13" x14ac:dyDescent="0.35">
      <c r="A1583">
        <v>101050</v>
      </c>
      <c r="B1583">
        <v>1365</v>
      </c>
      <c r="C1583" t="s">
        <v>602</v>
      </c>
      <c r="D1583" t="s">
        <v>1066</v>
      </c>
      <c r="E1583" t="s">
        <v>3066</v>
      </c>
      <c r="F1583">
        <v>4166571</v>
      </c>
      <c r="G1583">
        <v>217692</v>
      </c>
      <c r="H1583" t="s">
        <v>964</v>
      </c>
      <c r="I1583">
        <v>52</v>
      </c>
      <c r="J1583">
        <v>55</v>
      </c>
      <c r="K1583" t="s">
        <v>1068</v>
      </c>
      <c r="L1583" t="s">
        <v>965</v>
      </c>
      <c r="M1583" t="s">
        <v>3067</v>
      </c>
    </row>
    <row r="1584" spans="1:13" x14ac:dyDescent="0.35">
      <c r="A1584">
        <v>0</v>
      </c>
      <c r="B1584">
        <v>3131</v>
      </c>
      <c r="C1584" t="s">
        <v>602</v>
      </c>
      <c r="D1584" t="s">
        <v>1243</v>
      </c>
      <c r="E1584" t="s">
        <v>3068</v>
      </c>
      <c r="F1584">
        <v>22</v>
      </c>
      <c r="G1584">
        <v>228739</v>
      </c>
      <c r="H1584" t="s">
        <v>964</v>
      </c>
      <c r="I1584">
        <v>52</v>
      </c>
      <c r="J1584">
        <v>55</v>
      </c>
      <c r="K1584" t="s">
        <v>1312</v>
      </c>
      <c r="M1584" t="s">
        <v>3068</v>
      </c>
    </row>
    <row r="1585" spans="1:13" x14ac:dyDescent="0.35">
      <c r="A1585">
        <v>104255</v>
      </c>
      <c r="B1585">
        <v>1275</v>
      </c>
      <c r="C1585" t="s">
        <v>602</v>
      </c>
      <c r="D1585" t="s">
        <v>962</v>
      </c>
      <c r="E1585" t="s">
        <v>3069</v>
      </c>
      <c r="F1585">
        <v>5368</v>
      </c>
      <c r="G1585">
        <v>227484</v>
      </c>
      <c r="H1585" t="s">
        <v>964</v>
      </c>
      <c r="I1585">
        <v>52</v>
      </c>
      <c r="J1585">
        <v>52</v>
      </c>
      <c r="K1585" t="s">
        <v>979</v>
      </c>
      <c r="L1585" t="s">
        <v>980</v>
      </c>
      <c r="M1585" t="s">
        <v>3070</v>
      </c>
    </row>
    <row r="1586" spans="1:13" x14ac:dyDescent="0.35">
      <c r="A1586">
        <v>0</v>
      </c>
      <c r="B1586">
        <v>2780</v>
      </c>
      <c r="C1586" t="s">
        <v>602</v>
      </c>
      <c r="D1586" t="s">
        <v>1301</v>
      </c>
      <c r="E1586" t="s">
        <v>3071</v>
      </c>
      <c r="F1586">
        <v>7006</v>
      </c>
      <c r="I1586">
        <v>52</v>
      </c>
      <c r="J1586">
        <v>51</v>
      </c>
      <c r="M1586" t="s">
        <v>3071</v>
      </c>
    </row>
    <row r="1587" spans="1:13" x14ac:dyDescent="0.35">
      <c r="A1587">
        <v>0</v>
      </c>
      <c r="B1587">
        <v>2779</v>
      </c>
      <c r="C1587" t="s">
        <v>602</v>
      </c>
      <c r="D1587" t="s">
        <v>1301</v>
      </c>
      <c r="E1587" t="s">
        <v>3072</v>
      </c>
      <c r="F1587">
        <v>7005</v>
      </c>
      <c r="I1587">
        <v>51</v>
      </c>
      <c r="J1587">
        <v>50</v>
      </c>
      <c r="M1587" t="s">
        <v>3072</v>
      </c>
    </row>
    <row r="1588" spans="1:13" x14ac:dyDescent="0.35">
      <c r="A1588">
        <v>101386</v>
      </c>
      <c r="B1588">
        <v>1011</v>
      </c>
      <c r="C1588" t="s">
        <v>602</v>
      </c>
      <c r="D1588" t="s">
        <v>962</v>
      </c>
      <c r="E1588" t="s">
        <v>3073</v>
      </c>
      <c r="F1588">
        <v>3502</v>
      </c>
      <c r="G1588">
        <v>219746</v>
      </c>
      <c r="H1588" t="s">
        <v>964</v>
      </c>
      <c r="I1588">
        <v>51</v>
      </c>
      <c r="J1588">
        <v>51</v>
      </c>
      <c r="K1588" t="s">
        <v>979</v>
      </c>
      <c r="L1588" t="s">
        <v>1581</v>
      </c>
      <c r="M1588" t="s">
        <v>3074</v>
      </c>
    </row>
    <row r="1589" spans="1:13" x14ac:dyDescent="0.35">
      <c r="A1589">
        <v>0</v>
      </c>
      <c r="B1589">
        <v>3130</v>
      </c>
      <c r="C1589" t="s">
        <v>602</v>
      </c>
      <c r="D1589" t="s">
        <v>1243</v>
      </c>
      <c r="E1589" t="s">
        <v>3075</v>
      </c>
      <c r="F1589">
        <v>19</v>
      </c>
      <c r="G1589">
        <v>228742</v>
      </c>
      <c r="H1589" t="s">
        <v>964</v>
      </c>
      <c r="I1589">
        <v>51</v>
      </c>
      <c r="J1589">
        <v>54</v>
      </c>
      <c r="K1589" t="s">
        <v>2796</v>
      </c>
      <c r="M1589" t="s">
        <v>3075</v>
      </c>
    </row>
    <row r="1590" spans="1:13" x14ac:dyDescent="0.35">
      <c r="A1590">
        <v>102072</v>
      </c>
      <c r="B1590">
        <v>1381</v>
      </c>
      <c r="C1590" t="s">
        <v>602</v>
      </c>
      <c r="D1590" t="s">
        <v>1066</v>
      </c>
      <c r="E1590" t="s">
        <v>3076</v>
      </c>
      <c r="F1590">
        <v>4166565</v>
      </c>
      <c r="G1590">
        <v>2339</v>
      </c>
      <c r="H1590" t="s">
        <v>964</v>
      </c>
      <c r="I1590">
        <v>51</v>
      </c>
      <c r="J1590">
        <v>54</v>
      </c>
      <c r="K1590" t="s">
        <v>1068</v>
      </c>
      <c r="L1590" t="s">
        <v>965</v>
      </c>
      <c r="M1590" t="s">
        <v>3077</v>
      </c>
    </row>
    <row r="1591" spans="1:13" x14ac:dyDescent="0.35">
      <c r="A1591">
        <v>0</v>
      </c>
      <c r="B1591">
        <v>3129</v>
      </c>
      <c r="C1591" t="s">
        <v>602</v>
      </c>
      <c r="D1591" t="s">
        <v>1243</v>
      </c>
      <c r="E1591" t="s">
        <v>3078</v>
      </c>
      <c r="F1591">
        <v>18</v>
      </c>
      <c r="G1591">
        <v>228743</v>
      </c>
      <c r="H1591" t="s">
        <v>964</v>
      </c>
      <c r="I1591">
        <v>50</v>
      </c>
      <c r="J1591">
        <v>53</v>
      </c>
      <c r="K1591" t="s">
        <v>2796</v>
      </c>
      <c r="M1591" t="s">
        <v>3079</v>
      </c>
    </row>
    <row r="1592" spans="1:13" x14ac:dyDescent="0.35">
      <c r="A1592">
        <v>102531</v>
      </c>
      <c r="B1592">
        <v>1429</v>
      </c>
      <c r="C1592" t="s">
        <v>602</v>
      </c>
      <c r="D1592" t="s">
        <v>1066</v>
      </c>
      <c r="E1592" t="s">
        <v>3080</v>
      </c>
      <c r="F1592">
        <v>4166506</v>
      </c>
      <c r="G1592">
        <v>225155</v>
      </c>
      <c r="H1592" t="s">
        <v>964</v>
      </c>
      <c r="I1592">
        <v>50</v>
      </c>
      <c r="J1592">
        <v>53</v>
      </c>
      <c r="K1592" t="s">
        <v>1068</v>
      </c>
      <c r="L1592" t="s">
        <v>965</v>
      </c>
      <c r="M1592" t="s">
        <v>3081</v>
      </c>
    </row>
    <row r="1593" spans="1:13" x14ac:dyDescent="0.35">
      <c r="A1593">
        <v>101394</v>
      </c>
      <c r="B1593">
        <v>1018</v>
      </c>
      <c r="C1593" t="s">
        <v>602</v>
      </c>
      <c r="D1593" t="s">
        <v>962</v>
      </c>
      <c r="E1593" t="s">
        <v>3082</v>
      </c>
      <c r="F1593">
        <v>3493</v>
      </c>
      <c r="G1593">
        <v>219939</v>
      </c>
      <c r="H1593" t="s">
        <v>964</v>
      </c>
      <c r="I1593">
        <v>50</v>
      </c>
      <c r="J1593">
        <v>50</v>
      </c>
      <c r="K1593" t="s">
        <v>1051</v>
      </c>
      <c r="L1593" t="s">
        <v>980</v>
      </c>
      <c r="M1593" t="s">
        <v>3083</v>
      </c>
    </row>
    <row r="1594" spans="1:13" x14ac:dyDescent="0.35">
      <c r="A1594">
        <v>0</v>
      </c>
      <c r="B1594">
        <v>2778</v>
      </c>
      <c r="C1594" t="s">
        <v>602</v>
      </c>
      <c r="D1594" t="s">
        <v>1301</v>
      </c>
      <c r="E1594" t="s">
        <v>3084</v>
      </c>
      <c r="F1594">
        <v>7004</v>
      </c>
      <c r="I1594">
        <v>50</v>
      </c>
      <c r="J1594">
        <v>49</v>
      </c>
      <c r="M1594" t="s">
        <v>3084</v>
      </c>
    </row>
    <row r="1595" spans="1:13" x14ac:dyDescent="0.35">
      <c r="A1595">
        <v>103433</v>
      </c>
      <c r="B1595">
        <v>1576</v>
      </c>
      <c r="C1595" t="s">
        <v>602</v>
      </c>
      <c r="D1595" t="s">
        <v>1066</v>
      </c>
      <c r="E1595" t="s">
        <v>3085</v>
      </c>
      <c r="F1595">
        <v>4166665</v>
      </c>
      <c r="G1595">
        <v>220570</v>
      </c>
      <c r="H1595" t="s">
        <v>964</v>
      </c>
      <c r="I1595">
        <v>49</v>
      </c>
      <c r="J1595">
        <v>52</v>
      </c>
      <c r="K1595" t="s">
        <v>1068</v>
      </c>
      <c r="L1595" t="s">
        <v>965</v>
      </c>
      <c r="M1595" t="s">
        <v>3086</v>
      </c>
    </row>
    <row r="1596" spans="1:13" x14ac:dyDescent="0.35">
      <c r="A1596">
        <v>103704</v>
      </c>
      <c r="B1596">
        <v>1209</v>
      </c>
      <c r="C1596" t="s">
        <v>602</v>
      </c>
      <c r="D1596" t="s">
        <v>962</v>
      </c>
      <c r="E1596" t="s">
        <v>3087</v>
      </c>
      <c r="F1596">
        <v>4863</v>
      </c>
      <c r="G1596">
        <v>223206</v>
      </c>
      <c r="H1596" t="s">
        <v>964</v>
      </c>
      <c r="I1596">
        <v>49</v>
      </c>
      <c r="J1596">
        <v>49</v>
      </c>
      <c r="K1596" t="s">
        <v>3088</v>
      </c>
      <c r="L1596" t="s">
        <v>1581</v>
      </c>
      <c r="M1596" t="s">
        <v>3089</v>
      </c>
    </row>
    <row r="1597" spans="1:13" x14ac:dyDescent="0.35">
      <c r="A1597">
        <v>0</v>
      </c>
      <c r="B1597">
        <v>3128</v>
      </c>
      <c r="C1597" t="s">
        <v>602</v>
      </c>
      <c r="D1597" t="s">
        <v>1243</v>
      </c>
      <c r="E1597" t="s">
        <v>3090</v>
      </c>
      <c r="F1597">
        <v>17</v>
      </c>
      <c r="G1597">
        <v>228744</v>
      </c>
      <c r="H1597" t="s">
        <v>964</v>
      </c>
      <c r="I1597">
        <v>49</v>
      </c>
      <c r="J1597">
        <v>52</v>
      </c>
      <c r="K1597" t="s">
        <v>2796</v>
      </c>
      <c r="M1597" t="s">
        <v>3090</v>
      </c>
    </row>
    <row r="1598" spans="1:13" x14ac:dyDescent="0.35">
      <c r="A1598">
        <v>101558</v>
      </c>
      <c r="B1598">
        <v>1151</v>
      </c>
      <c r="C1598" t="s">
        <v>602</v>
      </c>
      <c r="D1598" t="s">
        <v>962</v>
      </c>
      <c r="E1598" t="s">
        <v>3091</v>
      </c>
      <c r="F1598">
        <v>3801</v>
      </c>
      <c r="G1598">
        <v>222111</v>
      </c>
      <c r="H1598" t="s">
        <v>964</v>
      </c>
      <c r="I1598">
        <v>48</v>
      </c>
      <c r="J1598">
        <v>48</v>
      </c>
      <c r="K1598" t="s">
        <v>979</v>
      </c>
      <c r="L1598" t="s">
        <v>965</v>
      </c>
      <c r="M1598" t="s">
        <v>3092</v>
      </c>
    </row>
    <row r="1599" spans="1:13" x14ac:dyDescent="0.35">
      <c r="A1599">
        <v>0</v>
      </c>
      <c r="B1599">
        <v>2776</v>
      </c>
      <c r="C1599" t="s">
        <v>602</v>
      </c>
      <c r="D1599" t="s">
        <v>1301</v>
      </c>
      <c r="E1599" t="s">
        <v>3093</v>
      </c>
      <c r="F1599">
        <v>7003</v>
      </c>
      <c r="I1599">
        <v>48</v>
      </c>
      <c r="J1599">
        <v>47</v>
      </c>
      <c r="M1599" t="s">
        <v>3093</v>
      </c>
    </row>
    <row r="1600" spans="1:13" x14ac:dyDescent="0.35">
      <c r="A1600">
        <v>0</v>
      </c>
      <c r="B1600">
        <v>3127</v>
      </c>
      <c r="C1600" t="s">
        <v>602</v>
      </c>
      <c r="D1600" t="s">
        <v>1243</v>
      </c>
      <c r="E1600" t="s">
        <v>3094</v>
      </c>
      <c r="F1600">
        <v>13</v>
      </c>
      <c r="G1600">
        <v>228748</v>
      </c>
      <c r="H1600" t="s">
        <v>964</v>
      </c>
      <c r="I1600">
        <v>48</v>
      </c>
      <c r="J1600">
        <v>51</v>
      </c>
      <c r="K1600" t="s">
        <v>1761</v>
      </c>
      <c r="M1600" t="s">
        <v>3094</v>
      </c>
    </row>
    <row r="1601" spans="1:13" x14ac:dyDescent="0.35">
      <c r="A1601">
        <v>104242</v>
      </c>
      <c r="B1601">
        <v>1693</v>
      </c>
      <c r="C1601" t="s">
        <v>602</v>
      </c>
      <c r="D1601" t="s">
        <v>1066</v>
      </c>
      <c r="E1601" t="s">
        <v>3095</v>
      </c>
      <c r="F1601">
        <v>4166592</v>
      </c>
      <c r="G1601">
        <v>227361</v>
      </c>
      <c r="H1601" t="s">
        <v>964</v>
      </c>
      <c r="I1601">
        <v>48</v>
      </c>
      <c r="J1601">
        <v>50</v>
      </c>
      <c r="K1601" t="s">
        <v>1068</v>
      </c>
      <c r="L1601" t="s">
        <v>1581</v>
      </c>
      <c r="M1601" t="s">
        <v>3096</v>
      </c>
    </row>
    <row r="1602" spans="1:13" x14ac:dyDescent="0.35">
      <c r="A1602">
        <v>103793</v>
      </c>
      <c r="B1602">
        <v>1645</v>
      </c>
      <c r="C1602" t="s">
        <v>602</v>
      </c>
      <c r="D1602" t="s">
        <v>1066</v>
      </c>
      <c r="E1602" t="s">
        <v>3097</v>
      </c>
      <c r="F1602">
        <v>4166509</v>
      </c>
      <c r="G1602">
        <v>225188</v>
      </c>
      <c r="H1602" t="s">
        <v>964</v>
      </c>
      <c r="I1602">
        <v>47</v>
      </c>
      <c r="J1602">
        <v>49</v>
      </c>
      <c r="K1602" t="s">
        <v>1068</v>
      </c>
      <c r="L1602" t="s">
        <v>965</v>
      </c>
      <c r="M1602" t="s">
        <v>3098</v>
      </c>
    </row>
    <row r="1603" spans="1:13" x14ac:dyDescent="0.35">
      <c r="A1603">
        <v>0</v>
      </c>
      <c r="B1603">
        <v>2774</v>
      </c>
      <c r="C1603" t="s">
        <v>602</v>
      </c>
      <c r="D1603" t="s">
        <v>1301</v>
      </c>
      <c r="E1603" t="s">
        <v>3099</v>
      </c>
      <c r="F1603">
        <v>7002</v>
      </c>
      <c r="I1603">
        <v>47</v>
      </c>
      <c r="J1603">
        <v>46</v>
      </c>
      <c r="M1603" t="s">
        <v>3099</v>
      </c>
    </row>
    <row r="1604" spans="1:13" x14ac:dyDescent="0.35">
      <c r="A1604">
        <v>103874</v>
      </c>
      <c r="B1604">
        <v>1222</v>
      </c>
      <c r="C1604" t="s">
        <v>602</v>
      </c>
      <c r="D1604" t="s">
        <v>962</v>
      </c>
      <c r="E1604" t="s">
        <v>3100</v>
      </c>
      <c r="F1604">
        <v>4962</v>
      </c>
      <c r="G1604">
        <v>225295</v>
      </c>
      <c r="H1604" t="s">
        <v>964</v>
      </c>
      <c r="I1604">
        <v>47</v>
      </c>
      <c r="J1604">
        <v>47</v>
      </c>
      <c r="K1604" t="s">
        <v>983</v>
      </c>
      <c r="L1604" t="s">
        <v>980</v>
      </c>
      <c r="M1604" t="s">
        <v>3101</v>
      </c>
    </row>
    <row r="1605" spans="1:13" x14ac:dyDescent="0.35">
      <c r="A1605">
        <v>0</v>
      </c>
      <c r="B1605">
        <v>3290</v>
      </c>
      <c r="C1605" t="s">
        <v>602</v>
      </c>
      <c r="D1605" t="s">
        <v>3102</v>
      </c>
      <c r="E1605" t="s">
        <v>3103</v>
      </c>
      <c r="G1605">
        <v>0</v>
      </c>
      <c r="H1605" t="s">
        <v>964</v>
      </c>
      <c r="I1605">
        <v>47</v>
      </c>
      <c r="J1605">
        <v>46</v>
      </c>
      <c r="M1605" t="s">
        <v>3103</v>
      </c>
    </row>
    <row r="1606" spans="1:13" x14ac:dyDescent="0.35">
      <c r="A1606">
        <v>0</v>
      </c>
      <c r="B1606">
        <v>3126</v>
      </c>
      <c r="C1606" t="s">
        <v>602</v>
      </c>
      <c r="D1606" t="s">
        <v>1243</v>
      </c>
      <c r="E1606" t="s">
        <v>3104</v>
      </c>
      <c r="F1606">
        <v>12</v>
      </c>
      <c r="G1606">
        <v>228749</v>
      </c>
      <c r="H1606" t="s">
        <v>964</v>
      </c>
      <c r="I1606">
        <v>47</v>
      </c>
      <c r="J1606">
        <v>50</v>
      </c>
      <c r="K1606" t="s">
        <v>2796</v>
      </c>
      <c r="M1606" t="s">
        <v>3104</v>
      </c>
    </row>
    <row r="1607" spans="1:13" x14ac:dyDescent="0.35">
      <c r="A1607">
        <v>0</v>
      </c>
      <c r="B1607">
        <v>3289</v>
      </c>
      <c r="C1607" t="s">
        <v>602</v>
      </c>
      <c r="D1607" t="s">
        <v>3102</v>
      </c>
      <c r="E1607" t="s">
        <v>3105</v>
      </c>
      <c r="G1607">
        <v>0</v>
      </c>
      <c r="H1607" t="s">
        <v>964</v>
      </c>
      <c r="I1607">
        <v>46</v>
      </c>
      <c r="J1607">
        <v>45</v>
      </c>
      <c r="M1607" t="s">
        <v>3105</v>
      </c>
    </row>
    <row r="1608" spans="1:13" x14ac:dyDescent="0.35">
      <c r="A1608">
        <v>103478</v>
      </c>
      <c r="B1608">
        <v>1605</v>
      </c>
      <c r="C1608" t="s">
        <v>602</v>
      </c>
      <c r="D1608" t="s">
        <v>1066</v>
      </c>
      <c r="E1608" t="s">
        <v>3106</v>
      </c>
      <c r="F1608">
        <v>4166659</v>
      </c>
      <c r="G1608">
        <v>222803</v>
      </c>
      <c r="H1608" t="s">
        <v>964</v>
      </c>
      <c r="I1608">
        <v>46</v>
      </c>
      <c r="J1608">
        <v>48</v>
      </c>
      <c r="K1608" t="s">
        <v>1068</v>
      </c>
      <c r="L1608" t="s">
        <v>965</v>
      </c>
      <c r="M1608" t="s">
        <v>3107</v>
      </c>
    </row>
    <row r="1609" spans="1:13" x14ac:dyDescent="0.35">
      <c r="A1609">
        <v>101411</v>
      </c>
      <c r="B1609">
        <v>1029</v>
      </c>
      <c r="C1609" t="s">
        <v>602</v>
      </c>
      <c r="D1609" t="s">
        <v>962</v>
      </c>
      <c r="E1609" t="s">
        <v>3108</v>
      </c>
      <c r="F1609">
        <v>3494</v>
      </c>
      <c r="G1609">
        <v>220904</v>
      </c>
      <c r="H1609" t="s">
        <v>964</v>
      </c>
      <c r="I1609">
        <v>46</v>
      </c>
      <c r="J1609">
        <v>46</v>
      </c>
      <c r="K1609" t="s">
        <v>1051</v>
      </c>
      <c r="L1609" t="s">
        <v>980</v>
      </c>
      <c r="M1609" t="s">
        <v>3109</v>
      </c>
    </row>
    <row r="1610" spans="1:13" x14ac:dyDescent="0.35">
      <c r="A1610">
        <v>0</v>
      </c>
      <c r="B1610">
        <v>3125</v>
      </c>
      <c r="C1610" t="s">
        <v>602</v>
      </c>
      <c r="D1610" t="s">
        <v>1243</v>
      </c>
      <c r="E1610" t="s">
        <v>3110</v>
      </c>
      <c r="F1610">
        <v>53</v>
      </c>
      <c r="G1610">
        <v>228715</v>
      </c>
      <c r="H1610" t="s">
        <v>964</v>
      </c>
      <c r="I1610">
        <v>46</v>
      </c>
      <c r="J1610">
        <v>49</v>
      </c>
      <c r="K1610" t="s">
        <v>2796</v>
      </c>
      <c r="M1610" t="s">
        <v>3110</v>
      </c>
    </row>
    <row r="1611" spans="1:13" x14ac:dyDescent="0.35">
      <c r="A1611">
        <v>103828</v>
      </c>
      <c r="B1611">
        <v>1646</v>
      </c>
      <c r="C1611" t="s">
        <v>602</v>
      </c>
      <c r="D1611" t="s">
        <v>1066</v>
      </c>
      <c r="E1611" t="s">
        <v>3111</v>
      </c>
      <c r="F1611">
        <v>4166512</v>
      </c>
      <c r="G1611">
        <v>225233</v>
      </c>
      <c r="H1611" t="s">
        <v>964</v>
      </c>
      <c r="I1611">
        <v>45</v>
      </c>
      <c r="J1611">
        <v>47</v>
      </c>
      <c r="K1611" t="s">
        <v>1068</v>
      </c>
      <c r="L1611" t="s">
        <v>1581</v>
      </c>
      <c r="M1611" t="s">
        <v>3112</v>
      </c>
    </row>
    <row r="1612" spans="1:13" x14ac:dyDescent="0.35">
      <c r="A1612">
        <v>101371</v>
      </c>
      <c r="B1612">
        <v>998</v>
      </c>
      <c r="C1612" t="s">
        <v>602</v>
      </c>
      <c r="D1612" t="s">
        <v>962</v>
      </c>
      <c r="E1612" t="s">
        <v>3113</v>
      </c>
      <c r="F1612">
        <v>3483</v>
      </c>
      <c r="G1612">
        <v>219800</v>
      </c>
      <c r="H1612" t="s">
        <v>964</v>
      </c>
      <c r="I1612">
        <v>45</v>
      </c>
      <c r="J1612">
        <v>45</v>
      </c>
      <c r="K1612" t="s">
        <v>979</v>
      </c>
      <c r="L1612" t="s">
        <v>980</v>
      </c>
      <c r="M1612" t="s">
        <v>3114</v>
      </c>
    </row>
    <row r="1613" spans="1:13" x14ac:dyDescent="0.35">
      <c r="A1613">
        <v>0</v>
      </c>
      <c r="B1613">
        <v>3124</v>
      </c>
      <c r="C1613" t="s">
        <v>602</v>
      </c>
      <c r="D1613" t="s">
        <v>1243</v>
      </c>
      <c r="E1613" t="s">
        <v>3115</v>
      </c>
      <c r="F1613">
        <v>49</v>
      </c>
      <c r="G1613">
        <v>228717</v>
      </c>
      <c r="H1613" t="s">
        <v>964</v>
      </c>
      <c r="I1613">
        <v>45</v>
      </c>
      <c r="J1613">
        <v>48</v>
      </c>
      <c r="K1613" t="s">
        <v>2796</v>
      </c>
      <c r="M1613" t="s">
        <v>3115</v>
      </c>
    </row>
    <row r="1614" spans="1:13" x14ac:dyDescent="0.35">
      <c r="A1614">
        <v>0</v>
      </c>
      <c r="B1614">
        <v>3288</v>
      </c>
      <c r="C1614" t="s">
        <v>602</v>
      </c>
      <c r="D1614" t="s">
        <v>3102</v>
      </c>
      <c r="E1614" t="s">
        <v>3116</v>
      </c>
      <c r="G1614">
        <v>0</v>
      </c>
      <c r="H1614" t="s">
        <v>964</v>
      </c>
      <c r="I1614">
        <v>45</v>
      </c>
      <c r="J1614">
        <v>44</v>
      </c>
      <c r="M1614" t="s">
        <v>3116</v>
      </c>
    </row>
    <row r="1615" spans="1:13" x14ac:dyDescent="0.35">
      <c r="A1615">
        <v>102136</v>
      </c>
      <c r="B1615">
        <v>1424</v>
      </c>
      <c r="C1615" t="s">
        <v>602</v>
      </c>
      <c r="D1615" t="s">
        <v>1066</v>
      </c>
      <c r="E1615" t="s">
        <v>3117</v>
      </c>
      <c r="F1615">
        <v>4166605</v>
      </c>
      <c r="G1615">
        <v>220877</v>
      </c>
      <c r="H1615" t="s">
        <v>964</v>
      </c>
      <c r="I1615">
        <v>44</v>
      </c>
      <c r="J1615">
        <v>46</v>
      </c>
      <c r="K1615" t="s">
        <v>1068</v>
      </c>
      <c r="L1615" t="s">
        <v>980</v>
      </c>
      <c r="M1615" t="s">
        <v>3118</v>
      </c>
    </row>
    <row r="1616" spans="1:13" x14ac:dyDescent="0.35">
      <c r="A1616">
        <v>0</v>
      </c>
      <c r="B1616">
        <v>3123</v>
      </c>
      <c r="C1616" t="s">
        <v>602</v>
      </c>
      <c r="D1616" t="s">
        <v>1243</v>
      </c>
      <c r="E1616" t="s">
        <v>3119</v>
      </c>
      <c r="F1616">
        <v>43</v>
      </c>
      <c r="G1616">
        <v>228722</v>
      </c>
      <c r="H1616" t="s">
        <v>964</v>
      </c>
      <c r="I1616">
        <v>44</v>
      </c>
      <c r="J1616">
        <v>47</v>
      </c>
      <c r="K1616" t="s">
        <v>1312</v>
      </c>
      <c r="M1616" t="s">
        <v>3119</v>
      </c>
    </row>
    <row r="1617" spans="1:13" x14ac:dyDescent="0.35">
      <c r="A1617">
        <v>0</v>
      </c>
      <c r="B1617">
        <v>3287</v>
      </c>
      <c r="C1617" t="s">
        <v>602</v>
      </c>
      <c r="D1617" t="s">
        <v>3102</v>
      </c>
      <c r="E1617" t="s">
        <v>3120</v>
      </c>
      <c r="G1617">
        <v>0</v>
      </c>
      <c r="H1617" t="s">
        <v>964</v>
      </c>
      <c r="I1617">
        <v>44</v>
      </c>
      <c r="J1617">
        <v>43</v>
      </c>
      <c r="M1617" t="s">
        <v>3120</v>
      </c>
    </row>
    <row r="1618" spans="1:13" x14ac:dyDescent="0.35">
      <c r="A1618">
        <v>103886</v>
      </c>
      <c r="B1618">
        <v>1228</v>
      </c>
      <c r="C1618" t="s">
        <v>602</v>
      </c>
      <c r="D1618" t="s">
        <v>962</v>
      </c>
      <c r="E1618" t="s">
        <v>3121</v>
      </c>
      <c r="F1618">
        <v>4874</v>
      </c>
      <c r="G1618">
        <v>225315</v>
      </c>
      <c r="H1618" t="s">
        <v>964</v>
      </c>
      <c r="I1618">
        <v>44</v>
      </c>
      <c r="J1618">
        <v>44</v>
      </c>
      <c r="K1618" t="s">
        <v>979</v>
      </c>
      <c r="L1618" t="s">
        <v>980</v>
      </c>
      <c r="M1618" t="s">
        <v>3122</v>
      </c>
    </row>
    <row r="1619" spans="1:13" x14ac:dyDescent="0.35">
      <c r="A1619">
        <v>103395</v>
      </c>
      <c r="B1619">
        <v>1543</v>
      </c>
      <c r="C1619" t="s">
        <v>602</v>
      </c>
      <c r="D1619" t="s">
        <v>1066</v>
      </c>
      <c r="E1619" t="s">
        <v>3123</v>
      </c>
      <c r="F1619">
        <v>4166572</v>
      </c>
      <c r="G1619">
        <v>217666</v>
      </c>
      <c r="H1619" t="s">
        <v>964</v>
      </c>
      <c r="I1619">
        <v>43</v>
      </c>
      <c r="J1619">
        <v>45</v>
      </c>
      <c r="K1619" t="s">
        <v>1068</v>
      </c>
      <c r="L1619" t="s">
        <v>965</v>
      </c>
      <c r="M1619" t="s">
        <v>3124</v>
      </c>
    </row>
    <row r="1620" spans="1:13" x14ac:dyDescent="0.35">
      <c r="A1620">
        <v>0</v>
      </c>
      <c r="B1620">
        <v>3122</v>
      </c>
      <c r="C1620" t="s">
        <v>602</v>
      </c>
      <c r="D1620" t="s">
        <v>1243</v>
      </c>
      <c r="E1620" t="s">
        <v>3125</v>
      </c>
      <c r="F1620">
        <v>31</v>
      </c>
      <c r="G1620">
        <v>228731</v>
      </c>
      <c r="H1620" t="s">
        <v>964</v>
      </c>
      <c r="I1620">
        <v>43</v>
      </c>
      <c r="J1620">
        <v>46</v>
      </c>
      <c r="K1620" t="s">
        <v>2796</v>
      </c>
      <c r="M1620" t="s">
        <v>3125</v>
      </c>
    </row>
    <row r="1621" spans="1:13" x14ac:dyDescent="0.35">
      <c r="A1621">
        <v>103785</v>
      </c>
      <c r="B1621">
        <v>1217</v>
      </c>
      <c r="C1621" t="s">
        <v>602</v>
      </c>
      <c r="D1621" t="s">
        <v>962</v>
      </c>
      <c r="E1621" t="s">
        <v>3126</v>
      </c>
      <c r="F1621">
        <v>4857</v>
      </c>
      <c r="G1621">
        <v>225168</v>
      </c>
      <c r="H1621" t="s">
        <v>964</v>
      </c>
      <c r="I1621">
        <v>43</v>
      </c>
      <c r="J1621">
        <v>43</v>
      </c>
      <c r="K1621" t="s">
        <v>979</v>
      </c>
      <c r="L1621" t="s">
        <v>1581</v>
      </c>
      <c r="M1621" t="s">
        <v>3127</v>
      </c>
    </row>
    <row r="1622" spans="1:13" x14ac:dyDescent="0.35">
      <c r="A1622">
        <v>0</v>
      </c>
      <c r="B1622">
        <v>3286</v>
      </c>
      <c r="C1622" t="s">
        <v>602</v>
      </c>
      <c r="D1622" t="s">
        <v>3102</v>
      </c>
      <c r="E1622" t="s">
        <v>3128</v>
      </c>
      <c r="G1622">
        <v>0</v>
      </c>
      <c r="H1622" t="s">
        <v>964</v>
      </c>
      <c r="I1622">
        <v>43</v>
      </c>
      <c r="J1622">
        <v>42</v>
      </c>
      <c r="M1622" t="s">
        <v>3128</v>
      </c>
    </row>
    <row r="1623" spans="1:13" x14ac:dyDescent="0.35">
      <c r="A1623">
        <v>101436</v>
      </c>
      <c r="B1623">
        <v>1049</v>
      </c>
      <c r="C1623" t="s">
        <v>602</v>
      </c>
      <c r="D1623" t="s">
        <v>962</v>
      </c>
      <c r="E1623" t="s">
        <v>3129</v>
      </c>
      <c r="F1623">
        <v>3498</v>
      </c>
      <c r="G1623">
        <v>220546</v>
      </c>
      <c r="H1623" t="s">
        <v>964</v>
      </c>
      <c r="I1623">
        <v>42</v>
      </c>
      <c r="J1623">
        <v>42</v>
      </c>
      <c r="K1623" t="s">
        <v>979</v>
      </c>
      <c r="L1623" t="s">
        <v>980</v>
      </c>
      <c r="M1623" t="s">
        <v>3130</v>
      </c>
    </row>
    <row r="1624" spans="1:13" x14ac:dyDescent="0.35">
      <c r="A1624">
        <v>103314</v>
      </c>
      <c r="B1624">
        <v>1498</v>
      </c>
      <c r="C1624" t="s">
        <v>602</v>
      </c>
      <c r="D1624" t="s">
        <v>1066</v>
      </c>
      <c r="E1624" t="s">
        <v>3131</v>
      </c>
      <c r="F1624">
        <v>4166672</v>
      </c>
      <c r="G1624">
        <v>222440</v>
      </c>
      <c r="H1624" t="s">
        <v>964</v>
      </c>
      <c r="I1624">
        <v>42</v>
      </c>
      <c r="J1624">
        <v>44</v>
      </c>
      <c r="K1624" t="s">
        <v>1068</v>
      </c>
      <c r="L1624" t="s">
        <v>965</v>
      </c>
      <c r="M1624" t="s">
        <v>3132</v>
      </c>
    </row>
    <row r="1625" spans="1:13" x14ac:dyDescent="0.35">
      <c r="A1625">
        <v>0</v>
      </c>
      <c r="B1625">
        <v>3285</v>
      </c>
      <c r="C1625" t="s">
        <v>602</v>
      </c>
      <c r="D1625" t="s">
        <v>3102</v>
      </c>
      <c r="E1625" t="s">
        <v>3133</v>
      </c>
      <c r="G1625">
        <v>0</v>
      </c>
      <c r="H1625" t="s">
        <v>964</v>
      </c>
      <c r="I1625">
        <v>42</v>
      </c>
      <c r="J1625">
        <v>41</v>
      </c>
      <c r="M1625" t="s">
        <v>3133</v>
      </c>
    </row>
    <row r="1626" spans="1:13" x14ac:dyDescent="0.35">
      <c r="A1626">
        <v>0</v>
      </c>
      <c r="B1626">
        <v>3121</v>
      </c>
      <c r="C1626" t="s">
        <v>602</v>
      </c>
      <c r="D1626" t="s">
        <v>1243</v>
      </c>
      <c r="E1626" t="s">
        <v>3134</v>
      </c>
      <c r="F1626">
        <v>15</v>
      </c>
      <c r="G1626">
        <v>228746</v>
      </c>
      <c r="H1626" t="s">
        <v>964</v>
      </c>
      <c r="I1626">
        <v>42</v>
      </c>
      <c r="J1626">
        <v>45</v>
      </c>
      <c r="K1626" t="s">
        <v>2796</v>
      </c>
      <c r="M1626" t="s">
        <v>3134</v>
      </c>
    </row>
    <row r="1627" spans="1:13" x14ac:dyDescent="0.35">
      <c r="A1627">
        <v>103864</v>
      </c>
      <c r="B1627">
        <v>1663</v>
      </c>
      <c r="C1627" t="s">
        <v>602</v>
      </c>
      <c r="D1627" t="s">
        <v>1066</v>
      </c>
      <c r="E1627" t="s">
        <v>3135</v>
      </c>
      <c r="F1627">
        <v>4166683</v>
      </c>
      <c r="G1627">
        <v>810</v>
      </c>
      <c r="H1627" t="s">
        <v>964</v>
      </c>
      <c r="I1627">
        <v>41</v>
      </c>
      <c r="J1627">
        <v>43</v>
      </c>
      <c r="K1627" t="s">
        <v>1068</v>
      </c>
      <c r="L1627" t="s">
        <v>980</v>
      </c>
      <c r="M1627" t="s">
        <v>3136</v>
      </c>
    </row>
    <row r="1628" spans="1:13" x14ac:dyDescent="0.35">
      <c r="A1628">
        <v>0</v>
      </c>
      <c r="B1628">
        <v>3120</v>
      </c>
      <c r="C1628" t="s">
        <v>602</v>
      </c>
      <c r="D1628" t="s">
        <v>1243</v>
      </c>
      <c r="E1628" t="s">
        <v>3137</v>
      </c>
      <c r="F1628">
        <v>11</v>
      </c>
      <c r="G1628">
        <v>228750</v>
      </c>
      <c r="H1628" t="s">
        <v>964</v>
      </c>
      <c r="I1628">
        <v>41</v>
      </c>
      <c r="J1628">
        <v>44</v>
      </c>
      <c r="K1628" t="s">
        <v>2796</v>
      </c>
      <c r="M1628" t="s">
        <v>3137</v>
      </c>
    </row>
    <row r="1629" spans="1:13" x14ac:dyDescent="0.35">
      <c r="A1629">
        <v>104172</v>
      </c>
      <c r="B1629">
        <v>1248</v>
      </c>
      <c r="C1629" t="s">
        <v>602</v>
      </c>
      <c r="D1629" t="s">
        <v>962</v>
      </c>
      <c r="E1629" t="s">
        <v>3138</v>
      </c>
      <c r="F1629">
        <v>5163</v>
      </c>
      <c r="G1629">
        <v>226837</v>
      </c>
      <c r="H1629" t="s">
        <v>964</v>
      </c>
      <c r="I1629">
        <v>41</v>
      </c>
      <c r="J1629">
        <v>41</v>
      </c>
      <c r="K1629" t="s">
        <v>979</v>
      </c>
      <c r="L1629" t="s">
        <v>965</v>
      </c>
      <c r="M1629" t="s">
        <v>3139</v>
      </c>
    </row>
    <row r="1630" spans="1:13" x14ac:dyDescent="0.35">
      <c r="A1630">
        <v>0</v>
      </c>
      <c r="B1630">
        <v>3284</v>
      </c>
      <c r="C1630" t="s">
        <v>602</v>
      </c>
      <c r="D1630" t="s">
        <v>3102</v>
      </c>
      <c r="E1630" t="s">
        <v>3140</v>
      </c>
      <c r="G1630">
        <v>0</v>
      </c>
      <c r="H1630" t="s">
        <v>964</v>
      </c>
      <c r="I1630">
        <v>41</v>
      </c>
      <c r="J1630">
        <v>40</v>
      </c>
      <c r="M1630" t="s">
        <v>3140</v>
      </c>
    </row>
    <row r="1631" spans="1:13" x14ac:dyDescent="0.35">
      <c r="A1631">
        <v>103681</v>
      </c>
      <c r="B1631">
        <v>1203</v>
      </c>
      <c r="C1631" t="s">
        <v>602</v>
      </c>
      <c r="D1631" t="s">
        <v>962</v>
      </c>
      <c r="E1631" t="s">
        <v>3141</v>
      </c>
      <c r="F1631">
        <v>4600</v>
      </c>
      <c r="G1631">
        <v>223130</v>
      </c>
      <c r="H1631" t="s">
        <v>964</v>
      </c>
      <c r="I1631">
        <v>40</v>
      </c>
      <c r="J1631">
        <v>40</v>
      </c>
      <c r="K1631" t="s">
        <v>979</v>
      </c>
      <c r="L1631" t="s">
        <v>965</v>
      </c>
      <c r="M1631" t="s">
        <v>3142</v>
      </c>
    </row>
    <row r="1632" spans="1:13" x14ac:dyDescent="0.35">
      <c r="A1632">
        <v>104091</v>
      </c>
      <c r="B1632">
        <v>1675</v>
      </c>
      <c r="C1632" t="s">
        <v>602</v>
      </c>
      <c r="D1632" t="s">
        <v>1066</v>
      </c>
      <c r="E1632" t="s">
        <v>3143</v>
      </c>
      <c r="F1632">
        <v>4166533</v>
      </c>
      <c r="G1632">
        <v>226281</v>
      </c>
      <c r="H1632" t="s">
        <v>964</v>
      </c>
      <c r="I1632">
        <v>40</v>
      </c>
      <c r="J1632">
        <v>42</v>
      </c>
      <c r="K1632" t="s">
        <v>1068</v>
      </c>
      <c r="L1632" t="s">
        <v>965</v>
      </c>
      <c r="M1632" t="s">
        <v>3144</v>
      </c>
    </row>
    <row r="1633" spans="1:13" x14ac:dyDescent="0.35">
      <c r="A1633">
        <v>0</v>
      </c>
      <c r="B1633">
        <v>3283</v>
      </c>
      <c r="C1633" t="s">
        <v>602</v>
      </c>
      <c r="D1633" t="s">
        <v>3102</v>
      </c>
      <c r="E1633" t="s">
        <v>3145</v>
      </c>
      <c r="G1633">
        <v>0</v>
      </c>
      <c r="H1633" t="s">
        <v>964</v>
      </c>
      <c r="I1633">
        <v>40</v>
      </c>
      <c r="J1633">
        <v>39</v>
      </c>
      <c r="M1633" t="s">
        <v>3145</v>
      </c>
    </row>
    <row r="1634" spans="1:13" x14ac:dyDescent="0.35">
      <c r="A1634">
        <v>0</v>
      </c>
      <c r="B1634">
        <v>3119</v>
      </c>
      <c r="C1634" t="s">
        <v>602</v>
      </c>
      <c r="D1634" t="s">
        <v>1243</v>
      </c>
      <c r="E1634" t="s">
        <v>3146</v>
      </c>
      <c r="F1634">
        <v>10</v>
      </c>
      <c r="G1634">
        <v>228751</v>
      </c>
      <c r="H1634" t="s">
        <v>964</v>
      </c>
      <c r="I1634">
        <v>40</v>
      </c>
      <c r="J1634">
        <v>43</v>
      </c>
      <c r="K1634" t="s">
        <v>1761</v>
      </c>
      <c r="M1634" t="s">
        <v>3146</v>
      </c>
    </row>
    <row r="1635" spans="1:13" x14ac:dyDescent="0.35">
      <c r="A1635">
        <v>103849</v>
      </c>
      <c r="B1635">
        <v>1651</v>
      </c>
      <c r="C1635" t="s">
        <v>602</v>
      </c>
      <c r="D1635" t="s">
        <v>1066</v>
      </c>
      <c r="E1635" t="s">
        <v>3147</v>
      </c>
      <c r="F1635">
        <v>4166515</v>
      </c>
      <c r="G1635">
        <v>225255</v>
      </c>
      <c r="H1635" t="s">
        <v>964</v>
      </c>
      <c r="I1635">
        <v>39</v>
      </c>
      <c r="J1635">
        <v>41</v>
      </c>
      <c r="K1635" t="s">
        <v>1068</v>
      </c>
      <c r="L1635" t="s">
        <v>980</v>
      </c>
      <c r="M1635" t="s">
        <v>3148</v>
      </c>
    </row>
    <row r="1636" spans="1:13" x14ac:dyDescent="0.35">
      <c r="A1636">
        <v>0</v>
      </c>
      <c r="B1636">
        <v>3282</v>
      </c>
      <c r="C1636" t="s">
        <v>602</v>
      </c>
      <c r="D1636" t="s">
        <v>3102</v>
      </c>
      <c r="E1636" t="s">
        <v>3149</v>
      </c>
      <c r="G1636">
        <v>0</v>
      </c>
      <c r="H1636" t="s">
        <v>964</v>
      </c>
      <c r="I1636">
        <v>39</v>
      </c>
      <c r="J1636">
        <v>38</v>
      </c>
      <c r="M1636" t="s">
        <v>3149</v>
      </c>
    </row>
    <row r="1637" spans="1:13" x14ac:dyDescent="0.35">
      <c r="A1637">
        <v>103873</v>
      </c>
      <c r="B1637">
        <v>1221</v>
      </c>
      <c r="C1637" t="s">
        <v>602</v>
      </c>
      <c r="D1637" t="s">
        <v>962</v>
      </c>
      <c r="E1637" t="s">
        <v>3150</v>
      </c>
      <c r="F1637">
        <v>4963</v>
      </c>
      <c r="G1637">
        <v>225294</v>
      </c>
      <c r="H1637" t="s">
        <v>964</v>
      </c>
      <c r="I1637">
        <v>39</v>
      </c>
      <c r="J1637">
        <v>39</v>
      </c>
      <c r="K1637" t="s">
        <v>979</v>
      </c>
      <c r="L1637" t="s">
        <v>965</v>
      </c>
      <c r="M1637" t="s">
        <v>3151</v>
      </c>
    </row>
    <row r="1638" spans="1:13" x14ac:dyDescent="0.35">
      <c r="A1638">
        <v>0</v>
      </c>
      <c r="B1638">
        <v>3281</v>
      </c>
      <c r="C1638" t="s">
        <v>602</v>
      </c>
      <c r="D1638" t="s">
        <v>3102</v>
      </c>
      <c r="E1638" t="s">
        <v>3152</v>
      </c>
      <c r="G1638">
        <v>0</v>
      </c>
      <c r="H1638" t="s">
        <v>964</v>
      </c>
      <c r="I1638">
        <v>38</v>
      </c>
      <c r="J1638">
        <v>37</v>
      </c>
      <c r="M1638" t="s">
        <v>3152</v>
      </c>
    </row>
    <row r="1639" spans="1:13" x14ac:dyDescent="0.35">
      <c r="A1639">
        <v>101400</v>
      </c>
      <c r="B1639">
        <v>1020</v>
      </c>
      <c r="C1639" t="s">
        <v>602</v>
      </c>
      <c r="D1639" t="s">
        <v>962</v>
      </c>
      <c r="E1639" t="s">
        <v>3153</v>
      </c>
      <c r="F1639">
        <v>3465</v>
      </c>
      <c r="G1639">
        <v>220053</v>
      </c>
      <c r="H1639" t="s">
        <v>964</v>
      </c>
      <c r="I1639">
        <v>38</v>
      </c>
      <c r="J1639">
        <v>38</v>
      </c>
      <c r="K1639" t="s">
        <v>979</v>
      </c>
      <c r="L1639" t="s">
        <v>965</v>
      </c>
      <c r="M1639" t="s">
        <v>3154</v>
      </c>
    </row>
    <row r="1640" spans="1:13" x14ac:dyDescent="0.35">
      <c r="A1640">
        <v>0</v>
      </c>
      <c r="B1640">
        <v>3117</v>
      </c>
      <c r="C1640" t="s">
        <v>602</v>
      </c>
      <c r="D1640" t="s">
        <v>1243</v>
      </c>
      <c r="E1640" t="s">
        <v>3155</v>
      </c>
      <c r="F1640">
        <v>2</v>
      </c>
      <c r="G1640">
        <v>228758</v>
      </c>
      <c r="H1640" t="s">
        <v>964</v>
      </c>
      <c r="I1640">
        <v>38</v>
      </c>
      <c r="J1640">
        <v>41</v>
      </c>
      <c r="K1640" t="s">
        <v>1312</v>
      </c>
      <c r="M1640" t="s">
        <v>3155</v>
      </c>
    </row>
    <row r="1641" spans="1:13" x14ac:dyDescent="0.35">
      <c r="A1641">
        <v>103413</v>
      </c>
      <c r="B1641">
        <v>1560</v>
      </c>
      <c r="C1641" t="s">
        <v>602</v>
      </c>
      <c r="D1641" t="s">
        <v>1066</v>
      </c>
      <c r="E1641" t="s">
        <v>3156</v>
      </c>
      <c r="F1641">
        <v>4166648</v>
      </c>
      <c r="G1641">
        <v>222716</v>
      </c>
      <c r="H1641" t="s">
        <v>964</v>
      </c>
      <c r="I1641">
        <v>38</v>
      </c>
      <c r="J1641">
        <v>40</v>
      </c>
      <c r="K1641" t="s">
        <v>1068</v>
      </c>
      <c r="L1641" t="s">
        <v>965</v>
      </c>
      <c r="M1641" t="s">
        <v>3157</v>
      </c>
    </row>
    <row r="1642" spans="1:13" x14ac:dyDescent="0.35">
      <c r="A1642">
        <v>0</v>
      </c>
      <c r="B1642">
        <v>3116</v>
      </c>
      <c r="C1642" t="s">
        <v>602</v>
      </c>
      <c r="D1642" t="s">
        <v>1243</v>
      </c>
      <c r="E1642" t="s">
        <v>3158</v>
      </c>
      <c r="F1642">
        <v>65</v>
      </c>
      <c r="G1642">
        <v>228787</v>
      </c>
      <c r="H1642" t="s">
        <v>964</v>
      </c>
      <c r="I1642">
        <v>37</v>
      </c>
      <c r="J1642">
        <v>40</v>
      </c>
      <c r="K1642" t="s">
        <v>1761</v>
      </c>
      <c r="M1642" t="s">
        <v>3158</v>
      </c>
    </row>
    <row r="1643" spans="1:13" x14ac:dyDescent="0.35">
      <c r="A1643">
        <v>0</v>
      </c>
      <c r="B1643">
        <v>2772</v>
      </c>
      <c r="C1643" t="s">
        <v>602</v>
      </c>
      <c r="D1643" t="s">
        <v>1301</v>
      </c>
      <c r="E1643" t="s">
        <v>3159</v>
      </c>
      <c r="F1643">
        <v>7001</v>
      </c>
      <c r="I1643">
        <v>37</v>
      </c>
      <c r="J1643">
        <v>45</v>
      </c>
      <c r="M1643" t="s">
        <v>3159</v>
      </c>
    </row>
    <row r="1644" spans="1:13" x14ac:dyDescent="0.35">
      <c r="A1644">
        <v>0</v>
      </c>
      <c r="B1644">
        <v>3280</v>
      </c>
      <c r="C1644" t="s">
        <v>602</v>
      </c>
      <c r="D1644" t="s">
        <v>3102</v>
      </c>
      <c r="E1644" t="s">
        <v>3160</v>
      </c>
      <c r="G1644">
        <v>0</v>
      </c>
      <c r="H1644" t="s">
        <v>964</v>
      </c>
      <c r="I1644">
        <v>37</v>
      </c>
      <c r="J1644">
        <v>36</v>
      </c>
      <c r="M1644" t="s">
        <v>3160</v>
      </c>
    </row>
    <row r="1645" spans="1:13" x14ac:dyDescent="0.35">
      <c r="A1645">
        <v>101585</v>
      </c>
      <c r="B1645">
        <v>1178</v>
      </c>
      <c r="C1645" t="s">
        <v>602</v>
      </c>
      <c r="D1645" t="s">
        <v>962</v>
      </c>
      <c r="E1645" t="s">
        <v>3161</v>
      </c>
      <c r="F1645">
        <v>3850</v>
      </c>
      <c r="G1645">
        <v>222573</v>
      </c>
      <c r="H1645" t="s">
        <v>964</v>
      </c>
      <c r="I1645">
        <v>37</v>
      </c>
      <c r="J1645">
        <v>37</v>
      </c>
      <c r="K1645" t="s">
        <v>979</v>
      </c>
      <c r="L1645" t="s">
        <v>965</v>
      </c>
      <c r="M1645" t="s">
        <v>3162</v>
      </c>
    </row>
    <row r="1646" spans="1:13" x14ac:dyDescent="0.35">
      <c r="A1646">
        <v>103393</v>
      </c>
      <c r="B1646">
        <v>1542</v>
      </c>
      <c r="C1646" t="s">
        <v>602</v>
      </c>
      <c r="D1646" t="s">
        <v>1066</v>
      </c>
      <c r="E1646" t="s">
        <v>3163</v>
      </c>
      <c r="F1646">
        <v>4166638</v>
      </c>
      <c r="G1646">
        <v>222697</v>
      </c>
      <c r="H1646" t="s">
        <v>964</v>
      </c>
      <c r="I1646">
        <v>37</v>
      </c>
      <c r="J1646">
        <v>39</v>
      </c>
      <c r="K1646" t="s">
        <v>1068</v>
      </c>
      <c r="L1646" t="s">
        <v>980</v>
      </c>
      <c r="M1646" t="s">
        <v>3164</v>
      </c>
    </row>
    <row r="1647" spans="1:13" x14ac:dyDescent="0.35">
      <c r="A1647">
        <v>103406</v>
      </c>
      <c r="B1647">
        <v>1553</v>
      </c>
      <c r="C1647" t="s">
        <v>597</v>
      </c>
      <c r="D1647" t="s">
        <v>1066</v>
      </c>
      <c r="E1647" t="s">
        <v>3165</v>
      </c>
      <c r="F1647">
        <v>4166654</v>
      </c>
      <c r="G1647">
        <v>222707</v>
      </c>
      <c r="I1647">
        <v>36</v>
      </c>
      <c r="J1647">
        <v>38</v>
      </c>
      <c r="M1647" t="s">
        <v>3166</v>
      </c>
    </row>
    <row r="1648" spans="1:13" x14ac:dyDescent="0.35">
      <c r="A1648">
        <v>0</v>
      </c>
      <c r="B1648">
        <v>3086</v>
      </c>
      <c r="C1648" t="s">
        <v>602</v>
      </c>
      <c r="D1648" t="s">
        <v>1301</v>
      </c>
      <c r="E1648" t="s">
        <v>3167</v>
      </c>
      <c r="F1648">
        <v>7</v>
      </c>
      <c r="I1648">
        <v>36</v>
      </c>
      <c r="J1648">
        <v>44</v>
      </c>
      <c r="M1648" t="s">
        <v>3167</v>
      </c>
    </row>
    <row r="1649" spans="1:13" x14ac:dyDescent="0.35">
      <c r="A1649">
        <v>0</v>
      </c>
      <c r="B1649">
        <v>3279</v>
      </c>
      <c r="C1649" t="s">
        <v>602</v>
      </c>
      <c r="D1649" t="s">
        <v>3102</v>
      </c>
      <c r="E1649" t="s">
        <v>3168</v>
      </c>
      <c r="G1649">
        <v>0</v>
      </c>
      <c r="H1649" t="s">
        <v>964</v>
      </c>
      <c r="I1649">
        <v>36</v>
      </c>
      <c r="J1649">
        <v>35</v>
      </c>
      <c r="M1649" t="s">
        <v>3168</v>
      </c>
    </row>
    <row r="1650" spans="1:13" x14ac:dyDescent="0.35">
      <c r="A1650">
        <v>0</v>
      </c>
      <c r="B1650">
        <v>3115</v>
      </c>
      <c r="C1650" t="s">
        <v>602</v>
      </c>
      <c r="D1650" t="s">
        <v>1243</v>
      </c>
      <c r="E1650" t="s">
        <v>3169</v>
      </c>
      <c r="F1650">
        <v>39</v>
      </c>
      <c r="G1650">
        <v>228725</v>
      </c>
      <c r="H1650" t="s">
        <v>964</v>
      </c>
      <c r="I1650">
        <v>36</v>
      </c>
      <c r="J1650">
        <v>39</v>
      </c>
      <c r="K1650" t="s">
        <v>1761</v>
      </c>
      <c r="M1650" t="s">
        <v>3169</v>
      </c>
    </row>
    <row r="1651" spans="1:13" x14ac:dyDescent="0.35">
      <c r="A1651">
        <v>101370</v>
      </c>
      <c r="B1651">
        <v>997</v>
      </c>
      <c r="C1651" t="s">
        <v>602</v>
      </c>
      <c r="D1651" t="s">
        <v>962</v>
      </c>
      <c r="E1651" t="s">
        <v>3170</v>
      </c>
      <c r="F1651">
        <v>3439</v>
      </c>
      <c r="G1651">
        <v>219778</v>
      </c>
      <c r="H1651" t="s">
        <v>964</v>
      </c>
      <c r="I1651">
        <v>36</v>
      </c>
      <c r="J1651">
        <v>36</v>
      </c>
      <c r="K1651" t="s">
        <v>979</v>
      </c>
      <c r="L1651" t="s">
        <v>965</v>
      </c>
      <c r="M1651" t="s">
        <v>3171</v>
      </c>
    </row>
    <row r="1652" spans="1:13" x14ac:dyDescent="0.35">
      <c r="A1652">
        <v>0</v>
      </c>
      <c r="B1652">
        <v>3114</v>
      </c>
      <c r="C1652" t="s">
        <v>602</v>
      </c>
      <c r="D1652" t="s">
        <v>1243</v>
      </c>
      <c r="E1652" t="s">
        <v>3172</v>
      </c>
      <c r="F1652">
        <v>55</v>
      </c>
      <c r="G1652">
        <v>228713</v>
      </c>
      <c r="H1652" t="s">
        <v>964</v>
      </c>
      <c r="I1652">
        <v>35</v>
      </c>
      <c r="J1652">
        <v>38</v>
      </c>
      <c r="K1652" t="s">
        <v>1761</v>
      </c>
      <c r="M1652" t="s">
        <v>3172</v>
      </c>
    </row>
    <row r="1653" spans="1:13" x14ac:dyDescent="0.35">
      <c r="A1653">
        <v>0</v>
      </c>
      <c r="B1653">
        <v>3278</v>
      </c>
      <c r="C1653" t="s">
        <v>602</v>
      </c>
      <c r="D1653" t="s">
        <v>3102</v>
      </c>
      <c r="E1653" t="s">
        <v>3173</v>
      </c>
      <c r="G1653">
        <v>0</v>
      </c>
      <c r="H1653" t="s">
        <v>964</v>
      </c>
      <c r="I1653">
        <v>35</v>
      </c>
      <c r="J1653">
        <v>34</v>
      </c>
      <c r="M1653" t="s">
        <v>3173</v>
      </c>
    </row>
    <row r="1654" spans="1:13" x14ac:dyDescent="0.35">
      <c r="A1654">
        <v>104130</v>
      </c>
      <c r="B1654">
        <v>1677</v>
      </c>
      <c r="C1654" t="s">
        <v>602</v>
      </c>
      <c r="D1654" t="s">
        <v>1066</v>
      </c>
      <c r="E1654" t="s">
        <v>3174</v>
      </c>
      <c r="F1654">
        <v>4166537</v>
      </c>
      <c r="G1654">
        <v>218801</v>
      </c>
      <c r="H1654" t="s">
        <v>964</v>
      </c>
      <c r="I1654">
        <v>35</v>
      </c>
      <c r="J1654">
        <v>37</v>
      </c>
      <c r="K1654" t="s">
        <v>1068</v>
      </c>
      <c r="L1654" t="s">
        <v>1581</v>
      </c>
      <c r="M1654" t="s">
        <v>3175</v>
      </c>
    </row>
    <row r="1655" spans="1:13" x14ac:dyDescent="0.35">
      <c r="A1655">
        <v>101439</v>
      </c>
      <c r="B1655">
        <v>1052</v>
      </c>
      <c r="C1655" t="s">
        <v>602</v>
      </c>
      <c r="D1655" t="s">
        <v>962</v>
      </c>
      <c r="E1655" t="s">
        <v>3176</v>
      </c>
      <c r="F1655">
        <v>3477</v>
      </c>
      <c r="G1655">
        <v>220619</v>
      </c>
      <c r="H1655" t="s">
        <v>964</v>
      </c>
      <c r="I1655">
        <v>35</v>
      </c>
      <c r="J1655">
        <v>35</v>
      </c>
      <c r="K1655" t="s">
        <v>2597</v>
      </c>
      <c r="L1655" t="s">
        <v>965</v>
      </c>
      <c r="M1655" t="s">
        <v>3177</v>
      </c>
    </row>
    <row r="1656" spans="1:13" x14ac:dyDescent="0.35">
      <c r="A1656">
        <v>0</v>
      </c>
      <c r="B1656">
        <v>3277</v>
      </c>
      <c r="C1656" t="s">
        <v>602</v>
      </c>
      <c r="D1656" t="s">
        <v>3102</v>
      </c>
      <c r="E1656" t="s">
        <v>3178</v>
      </c>
      <c r="G1656">
        <v>0</v>
      </c>
      <c r="H1656" t="s">
        <v>964</v>
      </c>
      <c r="I1656">
        <v>34</v>
      </c>
      <c r="J1656">
        <v>33</v>
      </c>
      <c r="M1656" t="s">
        <v>3178</v>
      </c>
    </row>
    <row r="1657" spans="1:13" x14ac:dyDescent="0.35">
      <c r="A1657">
        <v>0</v>
      </c>
      <c r="B1657">
        <v>3113</v>
      </c>
      <c r="C1657" t="s">
        <v>602</v>
      </c>
      <c r="D1657" t="s">
        <v>1243</v>
      </c>
      <c r="E1657" t="s">
        <v>3179</v>
      </c>
      <c r="F1657">
        <v>42</v>
      </c>
      <c r="G1657">
        <v>228723</v>
      </c>
      <c r="H1657" t="s">
        <v>964</v>
      </c>
      <c r="I1657">
        <v>34</v>
      </c>
      <c r="J1657">
        <v>37</v>
      </c>
      <c r="K1657" t="s">
        <v>2796</v>
      </c>
      <c r="M1657" t="s">
        <v>3179</v>
      </c>
    </row>
    <row r="1658" spans="1:13" x14ac:dyDescent="0.35">
      <c r="A1658">
        <v>102078</v>
      </c>
      <c r="B1658">
        <v>1385</v>
      </c>
      <c r="C1658" t="s">
        <v>597</v>
      </c>
      <c r="D1658" t="s">
        <v>1066</v>
      </c>
      <c r="E1658" t="s">
        <v>3180</v>
      </c>
      <c r="I1658">
        <v>34</v>
      </c>
      <c r="J1658">
        <v>36</v>
      </c>
      <c r="M1658" t="s">
        <v>3181</v>
      </c>
    </row>
    <row r="1659" spans="1:13" x14ac:dyDescent="0.35">
      <c r="A1659">
        <v>101517</v>
      </c>
      <c r="B1659">
        <v>1112</v>
      </c>
      <c r="C1659" t="s">
        <v>602</v>
      </c>
      <c r="D1659" t="s">
        <v>962</v>
      </c>
      <c r="E1659" t="s">
        <v>3182</v>
      </c>
      <c r="F1659">
        <v>3737</v>
      </c>
      <c r="G1659">
        <v>221719</v>
      </c>
      <c r="H1659" t="s">
        <v>964</v>
      </c>
      <c r="I1659">
        <v>34</v>
      </c>
      <c r="J1659">
        <v>34</v>
      </c>
      <c r="K1659" t="s">
        <v>1051</v>
      </c>
      <c r="L1659" t="s">
        <v>965</v>
      </c>
      <c r="M1659" t="s">
        <v>3183</v>
      </c>
    </row>
    <row r="1660" spans="1:13" x14ac:dyDescent="0.35">
      <c r="A1660">
        <v>0</v>
      </c>
      <c r="B1660">
        <v>3276</v>
      </c>
      <c r="C1660" t="s">
        <v>602</v>
      </c>
      <c r="D1660" t="s">
        <v>3102</v>
      </c>
      <c r="E1660" t="s">
        <v>3184</v>
      </c>
      <c r="G1660">
        <v>0</v>
      </c>
      <c r="H1660" t="s">
        <v>964</v>
      </c>
      <c r="I1660">
        <v>33</v>
      </c>
      <c r="J1660">
        <v>32</v>
      </c>
      <c r="M1660" t="s">
        <v>3184</v>
      </c>
    </row>
    <row r="1661" spans="1:13" x14ac:dyDescent="0.35">
      <c r="A1661">
        <v>101296</v>
      </c>
      <c r="B1661">
        <v>1371</v>
      </c>
      <c r="C1661" t="s">
        <v>602</v>
      </c>
      <c r="D1661" t="s">
        <v>1066</v>
      </c>
      <c r="E1661" t="s">
        <v>3185</v>
      </c>
      <c r="F1661">
        <v>4166540</v>
      </c>
      <c r="G1661">
        <v>21731</v>
      </c>
      <c r="H1661" t="s">
        <v>964</v>
      </c>
      <c r="I1661">
        <v>33</v>
      </c>
      <c r="J1661">
        <v>35</v>
      </c>
      <c r="K1661" t="s">
        <v>1068</v>
      </c>
      <c r="L1661" t="s">
        <v>965</v>
      </c>
      <c r="M1661" t="s">
        <v>3186</v>
      </c>
    </row>
    <row r="1662" spans="1:13" x14ac:dyDescent="0.35">
      <c r="A1662">
        <v>101465</v>
      </c>
      <c r="B1662">
        <v>1066</v>
      </c>
      <c r="C1662" t="s">
        <v>602</v>
      </c>
      <c r="D1662" t="s">
        <v>962</v>
      </c>
      <c r="E1662" t="s">
        <v>3187</v>
      </c>
      <c r="F1662">
        <v>3478</v>
      </c>
      <c r="G1662">
        <v>220872</v>
      </c>
      <c r="H1662" t="s">
        <v>964</v>
      </c>
      <c r="I1662">
        <v>33</v>
      </c>
      <c r="J1662">
        <v>33</v>
      </c>
      <c r="K1662" t="s">
        <v>979</v>
      </c>
      <c r="L1662" t="s">
        <v>965</v>
      </c>
      <c r="M1662" t="s">
        <v>3188</v>
      </c>
    </row>
    <row r="1663" spans="1:13" x14ac:dyDescent="0.35">
      <c r="A1663">
        <v>0</v>
      </c>
      <c r="B1663">
        <v>3112</v>
      </c>
      <c r="C1663" t="s">
        <v>602</v>
      </c>
      <c r="D1663" t="s">
        <v>1243</v>
      </c>
      <c r="E1663" t="s">
        <v>3189</v>
      </c>
      <c r="F1663">
        <v>20</v>
      </c>
      <c r="G1663">
        <v>228696</v>
      </c>
      <c r="H1663" t="s">
        <v>964</v>
      </c>
      <c r="I1663">
        <v>33</v>
      </c>
      <c r="J1663">
        <v>36</v>
      </c>
      <c r="K1663" t="s">
        <v>2796</v>
      </c>
      <c r="M1663" t="s">
        <v>3189</v>
      </c>
    </row>
    <row r="1664" spans="1:13" x14ac:dyDescent="0.35">
      <c r="A1664">
        <v>0</v>
      </c>
      <c r="B1664">
        <v>3275</v>
      </c>
      <c r="C1664" t="s">
        <v>602</v>
      </c>
      <c r="D1664" t="s">
        <v>3102</v>
      </c>
      <c r="E1664" t="s">
        <v>3190</v>
      </c>
      <c r="G1664">
        <v>0</v>
      </c>
      <c r="H1664" t="s">
        <v>964</v>
      </c>
      <c r="I1664">
        <v>32</v>
      </c>
      <c r="J1664">
        <v>31</v>
      </c>
      <c r="M1664" t="s">
        <v>3190</v>
      </c>
    </row>
    <row r="1665" spans="1:13" x14ac:dyDescent="0.35">
      <c r="A1665">
        <v>103435</v>
      </c>
      <c r="B1665">
        <v>1578</v>
      </c>
      <c r="C1665" t="s">
        <v>602</v>
      </c>
      <c r="D1665" t="s">
        <v>1066</v>
      </c>
      <c r="E1665" t="s">
        <v>3191</v>
      </c>
      <c r="F1665">
        <v>4166641</v>
      </c>
      <c r="G1665">
        <v>222730</v>
      </c>
      <c r="H1665" t="s">
        <v>964</v>
      </c>
      <c r="I1665">
        <v>32</v>
      </c>
      <c r="J1665">
        <v>34</v>
      </c>
      <c r="K1665" t="s">
        <v>1068</v>
      </c>
      <c r="L1665" t="s">
        <v>980</v>
      </c>
      <c r="M1665" t="s">
        <v>3192</v>
      </c>
    </row>
    <row r="1666" spans="1:13" x14ac:dyDescent="0.35">
      <c r="A1666">
        <v>101466</v>
      </c>
      <c r="B1666">
        <v>1067</v>
      </c>
      <c r="C1666" t="s">
        <v>602</v>
      </c>
      <c r="D1666" t="s">
        <v>962</v>
      </c>
      <c r="E1666" t="s">
        <v>3193</v>
      </c>
      <c r="F1666">
        <v>3479</v>
      </c>
      <c r="G1666">
        <v>220871</v>
      </c>
      <c r="H1666" t="s">
        <v>964</v>
      </c>
      <c r="I1666">
        <v>32</v>
      </c>
      <c r="J1666">
        <v>32</v>
      </c>
      <c r="K1666" t="s">
        <v>1051</v>
      </c>
      <c r="L1666" t="s">
        <v>965</v>
      </c>
      <c r="M1666" t="s">
        <v>3194</v>
      </c>
    </row>
    <row r="1667" spans="1:13" x14ac:dyDescent="0.35">
      <c r="A1667">
        <v>0</v>
      </c>
      <c r="B1667">
        <v>3111</v>
      </c>
      <c r="C1667" t="s">
        <v>602</v>
      </c>
      <c r="D1667" t="s">
        <v>1243</v>
      </c>
      <c r="E1667" t="s">
        <v>3195</v>
      </c>
      <c r="F1667">
        <v>26</v>
      </c>
      <c r="G1667">
        <v>227883</v>
      </c>
      <c r="H1667" t="s">
        <v>964</v>
      </c>
      <c r="I1667">
        <v>32</v>
      </c>
      <c r="J1667">
        <v>35</v>
      </c>
      <c r="K1667" t="s">
        <v>1761</v>
      </c>
      <c r="M1667" t="s">
        <v>3195</v>
      </c>
    </row>
    <row r="1668" spans="1:13" x14ac:dyDescent="0.35">
      <c r="A1668">
        <v>0</v>
      </c>
      <c r="B1668">
        <v>3274</v>
      </c>
      <c r="C1668" t="s">
        <v>602</v>
      </c>
      <c r="D1668" t="s">
        <v>3102</v>
      </c>
      <c r="E1668" t="s">
        <v>3196</v>
      </c>
      <c r="G1668">
        <v>0</v>
      </c>
      <c r="H1668" t="s">
        <v>964</v>
      </c>
      <c r="I1668">
        <v>31</v>
      </c>
      <c r="J1668">
        <v>30</v>
      </c>
      <c r="M1668" t="s">
        <v>3196</v>
      </c>
    </row>
    <row r="1669" spans="1:13" x14ac:dyDescent="0.35">
      <c r="A1669">
        <v>103132</v>
      </c>
      <c r="B1669">
        <v>2149</v>
      </c>
      <c r="C1669" t="s">
        <v>602</v>
      </c>
      <c r="D1669" t="s">
        <v>3197</v>
      </c>
      <c r="E1669" t="s">
        <v>270</v>
      </c>
      <c r="G1669">
        <v>222126</v>
      </c>
      <c r="H1669" t="s">
        <v>964</v>
      </c>
      <c r="I1669">
        <v>31</v>
      </c>
      <c r="J1669">
        <v>34</v>
      </c>
      <c r="L1669" t="s">
        <v>965</v>
      </c>
      <c r="M1669" t="s">
        <v>3198</v>
      </c>
    </row>
    <row r="1670" spans="1:13" x14ac:dyDescent="0.35">
      <c r="A1670">
        <v>104048</v>
      </c>
      <c r="B1670">
        <v>1237</v>
      </c>
      <c r="C1670" t="s">
        <v>602</v>
      </c>
      <c r="D1670" t="s">
        <v>962</v>
      </c>
      <c r="E1670" t="s">
        <v>3199</v>
      </c>
      <c r="F1670">
        <v>5559</v>
      </c>
      <c r="G1670">
        <v>226149</v>
      </c>
      <c r="H1670" t="s">
        <v>964</v>
      </c>
      <c r="I1670">
        <v>31</v>
      </c>
      <c r="J1670">
        <v>31</v>
      </c>
      <c r="K1670" t="s">
        <v>979</v>
      </c>
      <c r="L1670" t="s">
        <v>965</v>
      </c>
      <c r="M1670" t="s">
        <v>3200</v>
      </c>
    </row>
    <row r="1671" spans="1:13" x14ac:dyDescent="0.35">
      <c r="A1671">
        <v>103831</v>
      </c>
      <c r="B1671">
        <v>1649</v>
      </c>
      <c r="C1671" t="s">
        <v>602</v>
      </c>
      <c r="D1671" t="s">
        <v>1066</v>
      </c>
      <c r="E1671" t="s">
        <v>3201</v>
      </c>
      <c r="F1671">
        <v>4166514</v>
      </c>
      <c r="G1671">
        <v>225346</v>
      </c>
      <c r="H1671" t="s">
        <v>964</v>
      </c>
      <c r="I1671">
        <v>31</v>
      </c>
      <c r="J1671">
        <v>33</v>
      </c>
      <c r="K1671" t="s">
        <v>1068</v>
      </c>
      <c r="L1671" t="s">
        <v>965</v>
      </c>
      <c r="M1671" t="s">
        <v>3202</v>
      </c>
    </row>
    <row r="1672" spans="1:13" x14ac:dyDescent="0.35">
      <c r="A1672">
        <v>808080</v>
      </c>
      <c r="B1672">
        <v>3529</v>
      </c>
      <c r="C1672" t="s">
        <v>602</v>
      </c>
      <c r="D1672" t="s">
        <v>3203</v>
      </c>
      <c r="E1672" t="s">
        <v>3204</v>
      </c>
      <c r="G1672">
        <v>0</v>
      </c>
      <c r="I1672">
        <v>30</v>
      </c>
      <c r="J1672">
        <v>24</v>
      </c>
      <c r="L1672" t="s">
        <v>965</v>
      </c>
      <c r="M1672" t="s">
        <v>1073</v>
      </c>
    </row>
    <row r="1673" spans="1:13" x14ac:dyDescent="0.35">
      <c r="A1673">
        <v>101566</v>
      </c>
      <c r="B1673">
        <v>1159</v>
      </c>
      <c r="C1673" t="s">
        <v>602</v>
      </c>
      <c r="D1673" t="s">
        <v>962</v>
      </c>
      <c r="E1673" t="s">
        <v>3205</v>
      </c>
      <c r="F1673">
        <v>3772</v>
      </c>
      <c r="G1673">
        <v>222197</v>
      </c>
      <c r="H1673" t="s">
        <v>964</v>
      </c>
      <c r="I1673">
        <v>30</v>
      </c>
      <c r="J1673">
        <v>30</v>
      </c>
      <c r="K1673" t="s">
        <v>979</v>
      </c>
      <c r="L1673" t="s">
        <v>965</v>
      </c>
      <c r="M1673" t="s">
        <v>3206</v>
      </c>
    </row>
    <row r="1674" spans="1:13" x14ac:dyDescent="0.35">
      <c r="A1674">
        <v>103855</v>
      </c>
      <c r="B1674">
        <v>1656</v>
      </c>
      <c r="C1674" t="s">
        <v>602</v>
      </c>
      <c r="D1674" t="s">
        <v>1066</v>
      </c>
      <c r="E1674" t="s">
        <v>3207</v>
      </c>
      <c r="F1674">
        <v>4166530</v>
      </c>
      <c r="G1674">
        <v>293</v>
      </c>
      <c r="H1674" t="s">
        <v>964</v>
      </c>
      <c r="I1674">
        <v>30</v>
      </c>
      <c r="J1674">
        <v>32</v>
      </c>
      <c r="K1674" t="s">
        <v>1068</v>
      </c>
      <c r="L1674" t="s">
        <v>965</v>
      </c>
      <c r="M1674" t="s">
        <v>3208</v>
      </c>
    </row>
    <row r="1675" spans="1:13" x14ac:dyDescent="0.35">
      <c r="A1675">
        <v>0</v>
      </c>
      <c r="B1675">
        <v>3273</v>
      </c>
      <c r="C1675" t="s">
        <v>602</v>
      </c>
      <c r="D1675" t="s">
        <v>3102</v>
      </c>
      <c r="E1675" t="s">
        <v>3209</v>
      </c>
      <c r="G1675">
        <v>0</v>
      </c>
      <c r="H1675" t="s">
        <v>964</v>
      </c>
      <c r="I1675">
        <v>30</v>
      </c>
      <c r="J1675">
        <v>29</v>
      </c>
      <c r="M1675" t="s">
        <v>3209</v>
      </c>
    </row>
    <row r="1676" spans="1:13" x14ac:dyDescent="0.35">
      <c r="A1676">
        <v>101056</v>
      </c>
      <c r="B1676">
        <v>1845</v>
      </c>
      <c r="C1676" t="s">
        <v>602</v>
      </c>
      <c r="D1676" t="s">
        <v>1968</v>
      </c>
      <c r="E1676" t="s">
        <v>81</v>
      </c>
      <c r="G1676">
        <v>218903</v>
      </c>
      <c r="H1676" t="s">
        <v>964</v>
      </c>
      <c r="I1676">
        <v>29</v>
      </c>
      <c r="J1676">
        <v>32</v>
      </c>
      <c r="L1676" t="s">
        <v>965</v>
      </c>
      <c r="M1676" t="s">
        <v>3210</v>
      </c>
    </row>
    <row r="1677" spans="1:13" x14ac:dyDescent="0.35">
      <c r="A1677">
        <v>101584</v>
      </c>
      <c r="B1677">
        <v>1177</v>
      </c>
      <c r="C1677" t="s">
        <v>602</v>
      </c>
      <c r="D1677" t="s">
        <v>962</v>
      </c>
      <c r="E1677" t="s">
        <v>3211</v>
      </c>
      <c r="F1677">
        <v>3762</v>
      </c>
      <c r="G1677">
        <v>222572</v>
      </c>
      <c r="H1677" t="s">
        <v>964</v>
      </c>
      <c r="I1677">
        <v>29</v>
      </c>
      <c r="J1677">
        <v>29</v>
      </c>
      <c r="K1677" t="s">
        <v>1051</v>
      </c>
      <c r="L1677" t="s">
        <v>965</v>
      </c>
      <c r="M1677" t="s">
        <v>3212</v>
      </c>
    </row>
    <row r="1678" spans="1:13" x14ac:dyDescent="0.35">
      <c r="A1678">
        <v>103853</v>
      </c>
      <c r="B1678">
        <v>1654</v>
      </c>
      <c r="C1678" t="s">
        <v>602</v>
      </c>
      <c r="D1678" t="s">
        <v>1066</v>
      </c>
      <c r="E1678" t="s">
        <v>3213</v>
      </c>
      <c r="F1678">
        <v>4166518</v>
      </c>
      <c r="G1678">
        <v>2149</v>
      </c>
      <c r="H1678" t="s">
        <v>964</v>
      </c>
      <c r="I1678">
        <v>29</v>
      </c>
      <c r="J1678">
        <v>31</v>
      </c>
      <c r="K1678" t="s">
        <v>1068</v>
      </c>
      <c r="L1678" t="s">
        <v>965</v>
      </c>
      <c r="M1678" t="s">
        <v>3214</v>
      </c>
    </row>
    <row r="1679" spans="1:13" x14ac:dyDescent="0.35">
      <c r="A1679">
        <v>0</v>
      </c>
      <c r="B1679">
        <v>3272</v>
      </c>
      <c r="C1679" t="s">
        <v>602</v>
      </c>
      <c r="D1679" t="s">
        <v>3102</v>
      </c>
      <c r="E1679" t="s">
        <v>3215</v>
      </c>
      <c r="G1679">
        <v>0</v>
      </c>
      <c r="H1679" t="s">
        <v>964</v>
      </c>
      <c r="I1679">
        <v>29</v>
      </c>
      <c r="J1679">
        <v>28</v>
      </c>
      <c r="M1679" t="s">
        <v>3215</v>
      </c>
    </row>
    <row r="1680" spans="1:13" x14ac:dyDescent="0.35">
      <c r="A1680">
        <v>103775</v>
      </c>
      <c r="B1680">
        <v>1644</v>
      </c>
      <c r="C1680" t="s">
        <v>602</v>
      </c>
      <c r="D1680" t="s">
        <v>1066</v>
      </c>
      <c r="E1680" t="s">
        <v>3216</v>
      </c>
      <c r="F1680">
        <v>4166508</v>
      </c>
      <c r="G1680">
        <v>225157</v>
      </c>
      <c r="H1680" t="s">
        <v>964</v>
      </c>
      <c r="I1680">
        <v>28</v>
      </c>
      <c r="J1680">
        <v>30</v>
      </c>
      <c r="K1680" t="s">
        <v>1068</v>
      </c>
      <c r="L1680" t="s">
        <v>965</v>
      </c>
      <c r="M1680" t="s">
        <v>3217</v>
      </c>
    </row>
    <row r="1681" spans="1:13" x14ac:dyDescent="0.35">
      <c r="A1681">
        <v>102726</v>
      </c>
      <c r="B1681">
        <v>1846</v>
      </c>
      <c r="C1681" t="s">
        <v>602</v>
      </c>
      <c r="D1681" t="s">
        <v>1968</v>
      </c>
      <c r="E1681" t="s">
        <v>85</v>
      </c>
      <c r="G1681">
        <v>221480</v>
      </c>
      <c r="H1681" t="s">
        <v>964</v>
      </c>
      <c r="I1681">
        <v>28</v>
      </c>
      <c r="J1681">
        <v>31</v>
      </c>
      <c r="K1681" t="s">
        <v>1283</v>
      </c>
      <c r="L1681" t="s">
        <v>965</v>
      </c>
      <c r="M1681" t="s">
        <v>3218</v>
      </c>
    </row>
    <row r="1682" spans="1:13" x14ac:dyDescent="0.35">
      <c r="A1682">
        <v>0</v>
      </c>
      <c r="B1682">
        <v>3271</v>
      </c>
      <c r="C1682" t="s">
        <v>602</v>
      </c>
      <c r="D1682" t="s">
        <v>3102</v>
      </c>
      <c r="E1682" t="s">
        <v>3219</v>
      </c>
      <c r="G1682">
        <v>0</v>
      </c>
      <c r="H1682" t="s">
        <v>964</v>
      </c>
      <c r="I1682">
        <v>28</v>
      </c>
      <c r="J1682">
        <v>27</v>
      </c>
      <c r="M1682" t="s">
        <v>3219</v>
      </c>
    </row>
    <row r="1683" spans="1:13" x14ac:dyDescent="0.35">
      <c r="A1683">
        <v>101374</v>
      </c>
      <c r="B1683">
        <v>1000</v>
      </c>
      <c r="C1683" t="s">
        <v>602</v>
      </c>
      <c r="D1683" t="s">
        <v>962</v>
      </c>
      <c r="E1683" t="s">
        <v>3220</v>
      </c>
      <c r="F1683">
        <v>3436</v>
      </c>
      <c r="G1683">
        <v>219787</v>
      </c>
      <c r="H1683" t="s">
        <v>964</v>
      </c>
      <c r="I1683">
        <v>28</v>
      </c>
      <c r="J1683">
        <v>28</v>
      </c>
      <c r="K1683" t="s">
        <v>979</v>
      </c>
      <c r="L1683" t="s">
        <v>965</v>
      </c>
      <c r="M1683" t="s">
        <v>3221</v>
      </c>
    </row>
    <row r="1684" spans="1:13" x14ac:dyDescent="0.35">
      <c r="A1684">
        <v>0</v>
      </c>
      <c r="B1684">
        <v>2708</v>
      </c>
      <c r="C1684" t="s">
        <v>597</v>
      </c>
      <c r="D1684" t="s">
        <v>3222</v>
      </c>
      <c r="E1684" t="s">
        <v>3223</v>
      </c>
      <c r="I1684">
        <v>27</v>
      </c>
      <c r="J1684">
        <v>36</v>
      </c>
      <c r="M1684" t="s">
        <v>3223</v>
      </c>
    </row>
    <row r="1685" spans="1:13" x14ac:dyDescent="0.35">
      <c r="A1685">
        <v>0</v>
      </c>
      <c r="B1685">
        <v>3102</v>
      </c>
      <c r="C1685" t="s">
        <v>602</v>
      </c>
      <c r="D1685" t="s">
        <v>3224</v>
      </c>
      <c r="E1685" t="s">
        <v>3225</v>
      </c>
      <c r="H1685" t="s">
        <v>964</v>
      </c>
      <c r="I1685">
        <v>27</v>
      </c>
      <c r="J1685">
        <v>22</v>
      </c>
      <c r="M1685" t="s">
        <v>1471</v>
      </c>
    </row>
    <row r="1686" spans="1:13" x14ac:dyDescent="0.35">
      <c r="A1686">
        <v>103342</v>
      </c>
      <c r="B1686">
        <v>1511</v>
      </c>
      <c r="C1686" t="s">
        <v>602</v>
      </c>
      <c r="D1686" t="s">
        <v>1066</v>
      </c>
      <c r="E1686" t="s">
        <v>3226</v>
      </c>
      <c r="F1686">
        <v>4166636</v>
      </c>
      <c r="G1686">
        <v>222588</v>
      </c>
      <c r="H1686" t="s">
        <v>964</v>
      </c>
      <c r="I1686">
        <v>27</v>
      </c>
      <c r="J1686">
        <v>29</v>
      </c>
      <c r="K1686" t="s">
        <v>1068</v>
      </c>
      <c r="L1686" t="s">
        <v>965</v>
      </c>
      <c r="M1686" t="s">
        <v>3227</v>
      </c>
    </row>
    <row r="1687" spans="1:13" x14ac:dyDescent="0.35">
      <c r="A1687">
        <v>101342</v>
      </c>
      <c r="B1687">
        <v>975</v>
      </c>
      <c r="C1687" t="s">
        <v>602</v>
      </c>
      <c r="D1687" t="s">
        <v>962</v>
      </c>
      <c r="E1687" t="s">
        <v>3228</v>
      </c>
      <c r="F1687">
        <v>3425</v>
      </c>
      <c r="G1687">
        <v>219780</v>
      </c>
      <c r="H1687" t="s">
        <v>964</v>
      </c>
      <c r="I1687">
        <v>27</v>
      </c>
      <c r="J1687">
        <v>27</v>
      </c>
      <c r="K1687" t="s">
        <v>979</v>
      </c>
      <c r="L1687" t="s">
        <v>965</v>
      </c>
      <c r="M1687" t="s">
        <v>3229</v>
      </c>
    </row>
    <row r="1688" spans="1:13" x14ac:dyDescent="0.35">
      <c r="A1688">
        <v>0</v>
      </c>
      <c r="B1688">
        <v>3270</v>
      </c>
      <c r="C1688" t="s">
        <v>602</v>
      </c>
      <c r="D1688" t="s">
        <v>3102</v>
      </c>
      <c r="E1688" t="s">
        <v>3230</v>
      </c>
      <c r="G1688">
        <v>0</v>
      </c>
      <c r="H1688" t="s">
        <v>964</v>
      </c>
      <c r="I1688">
        <v>27</v>
      </c>
      <c r="J1688">
        <v>26</v>
      </c>
      <c r="M1688" t="s">
        <v>3230</v>
      </c>
    </row>
    <row r="1689" spans="1:13" x14ac:dyDescent="0.35">
      <c r="A1689">
        <v>0</v>
      </c>
      <c r="B1689">
        <v>3269</v>
      </c>
      <c r="C1689" t="s">
        <v>602</v>
      </c>
      <c r="D1689" t="s">
        <v>3102</v>
      </c>
      <c r="E1689" t="s">
        <v>3231</v>
      </c>
      <c r="G1689">
        <v>0</v>
      </c>
      <c r="H1689" t="s">
        <v>964</v>
      </c>
      <c r="I1689">
        <v>26</v>
      </c>
      <c r="J1689">
        <v>25</v>
      </c>
      <c r="M1689" t="s">
        <v>3231</v>
      </c>
    </row>
    <row r="1690" spans="1:13" x14ac:dyDescent="0.35">
      <c r="A1690">
        <v>0</v>
      </c>
      <c r="B1690">
        <v>2707</v>
      </c>
      <c r="C1690" t="s">
        <v>602</v>
      </c>
      <c r="D1690" t="s">
        <v>3222</v>
      </c>
      <c r="E1690" t="s">
        <v>3232</v>
      </c>
      <c r="I1690">
        <v>26</v>
      </c>
      <c r="J1690">
        <v>35</v>
      </c>
      <c r="M1690" t="s">
        <v>3232</v>
      </c>
    </row>
    <row r="1691" spans="1:13" x14ac:dyDescent="0.35">
      <c r="A1691">
        <v>101580</v>
      </c>
      <c r="B1691">
        <v>1173</v>
      </c>
      <c r="C1691" t="s">
        <v>602</v>
      </c>
      <c r="D1691" t="s">
        <v>962</v>
      </c>
      <c r="E1691" t="s">
        <v>3233</v>
      </c>
      <c r="F1691">
        <v>4298</v>
      </c>
      <c r="G1691">
        <v>222423</v>
      </c>
      <c r="H1691" t="s">
        <v>964</v>
      </c>
      <c r="I1691">
        <v>26</v>
      </c>
      <c r="J1691">
        <v>26</v>
      </c>
      <c r="K1691" t="s">
        <v>979</v>
      </c>
      <c r="L1691" t="s">
        <v>965</v>
      </c>
      <c r="M1691" t="s">
        <v>3234</v>
      </c>
    </row>
    <row r="1692" spans="1:13" x14ac:dyDescent="0.35">
      <c r="A1692">
        <v>103205</v>
      </c>
      <c r="B1692">
        <v>1440</v>
      </c>
      <c r="C1692" t="s">
        <v>602</v>
      </c>
      <c r="D1692" t="s">
        <v>1066</v>
      </c>
      <c r="E1692" t="s">
        <v>3235</v>
      </c>
      <c r="F1692">
        <v>4166510</v>
      </c>
      <c r="G1692">
        <v>222264</v>
      </c>
      <c r="H1692" t="s">
        <v>964</v>
      </c>
      <c r="I1692">
        <v>26</v>
      </c>
      <c r="J1692">
        <v>28</v>
      </c>
      <c r="K1692" t="s">
        <v>1068</v>
      </c>
      <c r="L1692" t="s">
        <v>965</v>
      </c>
      <c r="M1692" t="s">
        <v>3236</v>
      </c>
    </row>
    <row r="1693" spans="1:13" x14ac:dyDescent="0.35">
      <c r="A1693">
        <v>0</v>
      </c>
      <c r="B1693">
        <v>3100</v>
      </c>
      <c r="C1693" t="s">
        <v>602</v>
      </c>
      <c r="D1693" t="s">
        <v>3237</v>
      </c>
      <c r="E1693" t="s">
        <v>3238</v>
      </c>
      <c r="F1693">
        <v>4167145</v>
      </c>
      <c r="H1693" t="s">
        <v>964</v>
      </c>
      <c r="I1693">
        <v>26</v>
      </c>
      <c r="J1693">
        <v>21</v>
      </c>
      <c r="M1693" t="s">
        <v>3238</v>
      </c>
    </row>
    <row r="1694" spans="1:13" x14ac:dyDescent="0.35">
      <c r="A1694">
        <v>101435</v>
      </c>
      <c r="B1694">
        <v>1048</v>
      </c>
      <c r="C1694" t="s">
        <v>602</v>
      </c>
      <c r="D1694" t="s">
        <v>962</v>
      </c>
      <c r="E1694" t="s">
        <v>3239</v>
      </c>
      <c r="F1694">
        <v>3520</v>
      </c>
      <c r="G1694">
        <v>220684</v>
      </c>
      <c r="H1694" t="s">
        <v>964</v>
      </c>
      <c r="I1694">
        <v>25</v>
      </c>
      <c r="J1694">
        <v>25</v>
      </c>
      <c r="K1694" t="s">
        <v>1051</v>
      </c>
      <c r="L1694" t="s">
        <v>965</v>
      </c>
      <c r="M1694" t="s">
        <v>3240</v>
      </c>
    </row>
    <row r="1695" spans="1:13" x14ac:dyDescent="0.35">
      <c r="A1695">
        <v>103863</v>
      </c>
      <c r="B1695">
        <v>1662</v>
      </c>
      <c r="C1695" t="s">
        <v>602</v>
      </c>
      <c r="D1695" t="s">
        <v>1066</v>
      </c>
      <c r="E1695" t="s">
        <v>3241</v>
      </c>
      <c r="F1695">
        <v>4166527</v>
      </c>
      <c r="G1695">
        <v>1469</v>
      </c>
      <c r="H1695" t="s">
        <v>964</v>
      </c>
      <c r="I1695">
        <v>25</v>
      </c>
      <c r="J1695">
        <v>27</v>
      </c>
      <c r="K1695" t="s">
        <v>1068</v>
      </c>
      <c r="L1695" t="s">
        <v>965</v>
      </c>
      <c r="M1695" t="s">
        <v>3242</v>
      </c>
    </row>
    <row r="1696" spans="1:13" x14ac:dyDescent="0.35">
      <c r="A1696">
        <v>0</v>
      </c>
      <c r="B1696">
        <v>3268</v>
      </c>
      <c r="C1696" t="s">
        <v>602</v>
      </c>
      <c r="D1696" t="s">
        <v>3102</v>
      </c>
      <c r="E1696" t="s">
        <v>3243</v>
      </c>
      <c r="G1696">
        <v>0</v>
      </c>
      <c r="H1696" t="s">
        <v>964</v>
      </c>
      <c r="I1696">
        <v>25</v>
      </c>
      <c r="J1696">
        <v>24</v>
      </c>
      <c r="M1696" t="s">
        <v>3243</v>
      </c>
    </row>
    <row r="1697" spans="1:13" x14ac:dyDescent="0.35">
      <c r="A1697">
        <v>0</v>
      </c>
      <c r="B1697">
        <v>2706</v>
      </c>
      <c r="C1697" t="s">
        <v>597</v>
      </c>
      <c r="D1697" t="s">
        <v>3222</v>
      </c>
      <c r="E1697" t="s">
        <v>3244</v>
      </c>
      <c r="I1697">
        <v>25</v>
      </c>
      <c r="J1697">
        <v>34</v>
      </c>
      <c r="M1697" t="s">
        <v>3244</v>
      </c>
    </row>
    <row r="1698" spans="1:13" x14ac:dyDescent="0.35">
      <c r="A1698">
        <v>0</v>
      </c>
      <c r="B1698">
        <v>3110</v>
      </c>
      <c r="C1698" t="s">
        <v>602</v>
      </c>
      <c r="D1698" t="s">
        <v>1243</v>
      </c>
      <c r="E1698" t="s">
        <v>3245</v>
      </c>
      <c r="F1698">
        <v>40</v>
      </c>
      <c r="G1698">
        <v>228670</v>
      </c>
      <c r="H1698" t="s">
        <v>964</v>
      </c>
      <c r="I1698">
        <v>25</v>
      </c>
      <c r="J1698">
        <v>28</v>
      </c>
      <c r="K1698" t="s">
        <v>1761</v>
      </c>
      <c r="M1698" t="s">
        <v>3245</v>
      </c>
    </row>
    <row r="1699" spans="1:13" x14ac:dyDescent="0.35">
      <c r="A1699">
        <v>101256</v>
      </c>
      <c r="B1699">
        <v>958</v>
      </c>
      <c r="C1699" t="s">
        <v>602</v>
      </c>
      <c r="D1699" t="s">
        <v>962</v>
      </c>
      <c r="E1699" t="s">
        <v>3246</v>
      </c>
      <c r="F1699">
        <v>3410</v>
      </c>
      <c r="G1699">
        <v>219659</v>
      </c>
      <c r="H1699" t="s">
        <v>964</v>
      </c>
      <c r="I1699">
        <v>24</v>
      </c>
      <c r="J1699">
        <v>24</v>
      </c>
      <c r="K1699" t="s">
        <v>1051</v>
      </c>
      <c r="L1699" t="s">
        <v>965</v>
      </c>
      <c r="M1699" t="s">
        <v>3247</v>
      </c>
    </row>
    <row r="1700" spans="1:13" x14ac:dyDescent="0.35">
      <c r="A1700">
        <v>0</v>
      </c>
      <c r="B1700">
        <v>2705</v>
      </c>
      <c r="C1700" t="s">
        <v>597</v>
      </c>
      <c r="D1700" t="s">
        <v>3222</v>
      </c>
      <c r="E1700" t="s">
        <v>3248</v>
      </c>
      <c r="I1700">
        <v>24</v>
      </c>
      <c r="J1700">
        <v>32</v>
      </c>
      <c r="M1700" t="s">
        <v>3248</v>
      </c>
    </row>
    <row r="1701" spans="1:13" x14ac:dyDescent="0.35">
      <c r="A1701">
        <v>0</v>
      </c>
      <c r="B1701">
        <v>3230</v>
      </c>
      <c r="C1701" t="s">
        <v>602</v>
      </c>
      <c r="D1701" t="s">
        <v>3102</v>
      </c>
      <c r="E1701" t="s">
        <v>3249</v>
      </c>
      <c r="G1701">
        <v>0</v>
      </c>
      <c r="H1701" t="s">
        <v>964</v>
      </c>
      <c r="I1701">
        <v>24</v>
      </c>
      <c r="J1701">
        <v>23</v>
      </c>
      <c r="L1701" t="s">
        <v>965</v>
      </c>
      <c r="M1701" t="s">
        <v>3249</v>
      </c>
    </row>
    <row r="1702" spans="1:13" x14ac:dyDescent="0.35">
      <c r="A1702">
        <v>103830</v>
      </c>
      <c r="B1702">
        <v>1648</v>
      </c>
      <c r="C1702" t="s">
        <v>602</v>
      </c>
      <c r="D1702" t="s">
        <v>1066</v>
      </c>
      <c r="E1702" t="s">
        <v>3250</v>
      </c>
      <c r="F1702">
        <v>4166516</v>
      </c>
      <c r="G1702">
        <v>1559</v>
      </c>
      <c r="H1702" t="s">
        <v>964</v>
      </c>
      <c r="I1702">
        <v>24</v>
      </c>
      <c r="J1702">
        <v>26</v>
      </c>
      <c r="K1702" t="s">
        <v>1068</v>
      </c>
      <c r="L1702" t="s">
        <v>965</v>
      </c>
      <c r="M1702" t="s">
        <v>3251</v>
      </c>
    </row>
    <row r="1703" spans="1:13" x14ac:dyDescent="0.35">
      <c r="A1703">
        <v>103462</v>
      </c>
      <c r="B1703">
        <v>1598</v>
      </c>
      <c r="C1703" t="s">
        <v>602</v>
      </c>
      <c r="D1703" t="s">
        <v>1066</v>
      </c>
      <c r="E1703" t="s">
        <v>3252</v>
      </c>
      <c r="F1703">
        <v>4166666</v>
      </c>
      <c r="G1703">
        <v>222775</v>
      </c>
      <c r="H1703" t="s">
        <v>964</v>
      </c>
      <c r="I1703">
        <v>23</v>
      </c>
      <c r="J1703">
        <v>25</v>
      </c>
      <c r="K1703" t="s">
        <v>1068</v>
      </c>
      <c r="L1703" t="s">
        <v>965</v>
      </c>
      <c r="M1703" t="s">
        <v>3253</v>
      </c>
    </row>
    <row r="1704" spans="1:13" x14ac:dyDescent="0.35">
      <c r="A1704">
        <v>0</v>
      </c>
      <c r="B1704">
        <v>2704</v>
      </c>
      <c r="C1704" t="s">
        <v>602</v>
      </c>
      <c r="D1704" t="s">
        <v>3222</v>
      </c>
      <c r="E1704" t="s">
        <v>3254</v>
      </c>
      <c r="I1704">
        <v>23</v>
      </c>
      <c r="J1704">
        <v>31</v>
      </c>
      <c r="M1704" t="s">
        <v>3254</v>
      </c>
    </row>
    <row r="1705" spans="1:13" x14ac:dyDescent="0.35">
      <c r="A1705">
        <v>0</v>
      </c>
      <c r="B1705">
        <v>3109</v>
      </c>
      <c r="C1705" t="s">
        <v>602</v>
      </c>
      <c r="D1705" t="s">
        <v>1243</v>
      </c>
      <c r="E1705" t="s">
        <v>3255</v>
      </c>
      <c r="F1705">
        <v>6</v>
      </c>
      <c r="G1705">
        <v>228541</v>
      </c>
      <c r="H1705" t="s">
        <v>964</v>
      </c>
      <c r="I1705">
        <v>23</v>
      </c>
      <c r="J1705">
        <v>26</v>
      </c>
      <c r="K1705" t="s">
        <v>1761</v>
      </c>
      <c r="M1705" t="s">
        <v>3255</v>
      </c>
    </row>
    <row r="1706" spans="1:13" x14ac:dyDescent="0.35">
      <c r="A1706">
        <v>101385</v>
      </c>
      <c r="B1706">
        <v>1010</v>
      </c>
      <c r="C1706" t="s">
        <v>602</v>
      </c>
      <c r="D1706" t="s">
        <v>962</v>
      </c>
      <c r="E1706" t="s">
        <v>3256</v>
      </c>
      <c r="F1706">
        <v>3482</v>
      </c>
      <c r="G1706">
        <v>219798</v>
      </c>
      <c r="H1706" t="s">
        <v>964</v>
      </c>
      <c r="I1706">
        <v>23</v>
      </c>
      <c r="J1706">
        <v>23</v>
      </c>
      <c r="K1706" t="s">
        <v>1051</v>
      </c>
      <c r="L1706" t="s">
        <v>980</v>
      </c>
      <c r="M1706" t="s">
        <v>3257</v>
      </c>
    </row>
    <row r="1707" spans="1:13" x14ac:dyDescent="0.35">
      <c r="A1707">
        <v>416716</v>
      </c>
      <c r="B1707">
        <v>3469</v>
      </c>
      <c r="C1707" t="s">
        <v>602</v>
      </c>
      <c r="D1707" t="s">
        <v>3237</v>
      </c>
      <c r="E1707" t="s">
        <v>3258</v>
      </c>
      <c r="F1707">
        <v>4167168</v>
      </c>
      <c r="G1707">
        <v>0</v>
      </c>
      <c r="H1707" t="s">
        <v>964</v>
      </c>
      <c r="I1707">
        <v>23</v>
      </c>
      <c r="J1707">
        <v>19</v>
      </c>
      <c r="L1707" t="s">
        <v>965</v>
      </c>
      <c r="M1707" t="s">
        <v>3258</v>
      </c>
    </row>
    <row r="1708" spans="1:13" x14ac:dyDescent="0.35">
      <c r="A1708">
        <v>0</v>
      </c>
      <c r="B1708">
        <v>3229</v>
      </c>
      <c r="C1708" t="s">
        <v>602</v>
      </c>
      <c r="D1708" t="s">
        <v>3102</v>
      </c>
      <c r="E1708" t="s">
        <v>3259</v>
      </c>
      <c r="G1708">
        <v>0</v>
      </c>
      <c r="H1708" t="s">
        <v>964</v>
      </c>
      <c r="I1708">
        <v>23</v>
      </c>
      <c r="J1708">
        <v>22</v>
      </c>
      <c r="L1708" t="s">
        <v>965</v>
      </c>
      <c r="M1708" t="s">
        <v>3259</v>
      </c>
    </row>
    <row r="1709" spans="1:13" x14ac:dyDescent="0.35">
      <c r="A1709">
        <v>103859</v>
      </c>
      <c r="B1709">
        <v>1658</v>
      </c>
      <c r="C1709" t="s">
        <v>602</v>
      </c>
      <c r="D1709" t="s">
        <v>1066</v>
      </c>
      <c r="E1709" t="s">
        <v>3260</v>
      </c>
      <c r="F1709">
        <v>4166526</v>
      </c>
      <c r="G1709">
        <v>150</v>
      </c>
      <c r="H1709" t="s">
        <v>964</v>
      </c>
      <c r="I1709">
        <v>22</v>
      </c>
      <c r="J1709">
        <v>24</v>
      </c>
      <c r="K1709" t="s">
        <v>1068</v>
      </c>
      <c r="L1709" t="s">
        <v>965</v>
      </c>
      <c r="M1709" t="s">
        <v>3261</v>
      </c>
    </row>
    <row r="1710" spans="1:13" x14ac:dyDescent="0.35">
      <c r="A1710">
        <v>0</v>
      </c>
      <c r="B1710">
        <v>2703</v>
      </c>
      <c r="C1710" t="s">
        <v>602</v>
      </c>
      <c r="D1710" t="s">
        <v>3222</v>
      </c>
      <c r="E1710" t="s">
        <v>3262</v>
      </c>
      <c r="I1710">
        <v>22</v>
      </c>
      <c r="J1710">
        <v>30</v>
      </c>
      <c r="M1710" t="s">
        <v>3262</v>
      </c>
    </row>
    <row r="1711" spans="1:13" x14ac:dyDescent="0.35">
      <c r="A1711">
        <v>0</v>
      </c>
      <c r="B1711">
        <v>3228</v>
      </c>
      <c r="C1711" t="s">
        <v>602</v>
      </c>
      <c r="D1711" t="s">
        <v>3102</v>
      </c>
      <c r="E1711" t="s">
        <v>3263</v>
      </c>
      <c r="G1711">
        <v>0</v>
      </c>
      <c r="H1711" t="s">
        <v>964</v>
      </c>
      <c r="I1711">
        <v>22</v>
      </c>
      <c r="J1711">
        <v>21</v>
      </c>
      <c r="L1711" t="s">
        <v>965</v>
      </c>
      <c r="M1711" t="s">
        <v>3263</v>
      </c>
    </row>
    <row r="1712" spans="1:13" x14ac:dyDescent="0.35">
      <c r="A1712">
        <v>101569</v>
      </c>
      <c r="B1712">
        <v>1162</v>
      </c>
      <c r="C1712" t="s">
        <v>602</v>
      </c>
      <c r="D1712" t="s">
        <v>962</v>
      </c>
      <c r="E1712" t="s">
        <v>3264</v>
      </c>
      <c r="F1712">
        <v>3843</v>
      </c>
      <c r="G1712">
        <v>222229</v>
      </c>
      <c r="H1712" t="s">
        <v>964</v>
      </c>
      <c r="I1712">
        <v>22</v>
      </c>
      <c r="J1712">
        <v>22</v>
      </c>
      <c r="K1712" t="s">
        <v>979</v>
      </c>
      <c r="L1712" t="s">
        <v>980</v>
      </c>
      <c r="M1712" t="s">
        <v>3265</v>
      </c>
    </row>
    <row r="1713" spans="1:13" x14ac:dyDescent="0.35">
      <c r="A1713">
        <v>0</v>
      </c>
      <c r="B1713">
        <v>3108</v>
      </c>
      <c r="C1713" t="s">
        <v>602</v>
      </c>
      <c r="D1713" t="s">
        <v>1243</v>
      </c>
      <c r="E1713" t="s">
        <v>3266</v>
      </c>
      <c r="F1713">
        <v>58</v>
      </c>
      <c r="G1713">
        <v>228540</v>
      </c>
      <c r="H1713" t="s">
        <v>964</v>
      </c>
      <c r="I1713">
        <v>22</v>
      </c>
      <c r="J1713">
        <v>25</v>
      </c>
      <c r="K1713" t="s">
        <v>1761</v>
      </c>
      <c r="M1713" t="s">
        <v>3266</v>
      </c>
    </row>
    <row r="1714" spans="1:13" x14ac:dyDescent="0.35">
      <c r="A1714">
        <v>0</v>
      </c>
      <c r="B1714">
        <v>3085</v>
      </c>
      <c r="C1714" t="s">
        <v>602</v>
      </c>
      <c r="D1714" t="s">
        <v>1301</v>
      </c>
      <c r="E1714" t="s">
        <v>3267</v>
      </c>
      <c r="I1714">
        <v>22</v>
      </c>
      <c r="J1714">
        <v>43</v>
      </c>
      <c r="M1714" t="s">
        <v>3267</v>
      </c>
    </row>
    <row r="1715" spans="1:13" x14ac:dyDescent="0.35">
      <c r="A1715">
        <v>0</v>
      </c>
      <c r="B1715">
        <v>3227</v>
      </c>
      <c r="C1715" t="s">
        <v>602</v>
      </c>
      <c r="D1715" t="s">
        <v>3102</v>
      </c>
      <c r="E1715" t="s">
        <v>3268</v>
      </c>
      <c r="G1715">
        <v>0</v>
      </c>
      <c r="H1715" t="s">
        <v>964</v>
      </c>
      <c r="I1715">
        <v>21</v>
      </c>
      <c r="J1715">
        <v>20</v>
      </c>
      <c r="L1715" t="s">
        <v>965</v>
      </c>
      <c r="M1715" t="s">
        <v>3268</v>
      </c>
    </row>
    <row r="1716" spans="1:13" x14ac:dyDescent="0.35">
      <c r="A1716">
        <v>101567</v>
      </c>
      <c r="B1716">
        <v>1160</v>
      </c>
      <c r="C1716" t="s">
        <v>602</v>
      </c>
      <c r="D1716" t="s">
        <v>962</v>
      </c>
      <c r="E1716" t="s">
        <v>3269</v>
      </c>
      <c r="F1716">
        <v>3950</v>
      </c>
      <c r="G1716">
        <v>222203</v>
      </c>
      <c r="H1716" t="s">
        <v>964</v>
      </c>
      <c r="I1716">
        <v>21</v>
      </c>
      <c r="J1716">
        <v>21</v>
      </c>
      <c r="K1716" t="s">
        <v>979</v>
      </c>
      <c r="L1716" t="s">
        <v>965</v>
      </c>
      <c r="M1716" t="s">
        <v>3270</v>
      </c>
    </row>
    <row r="1717" spans="1:13" x14ac:dyDescent="0.35">
      <c r="A1717">
        <v>0</v>
      </c>
      <c r="B1717">
        <v>2696</v>
      </c>
      <c r="C1717" t="s">
        <v>602</v>
      </c>
      <c r="D1717" t="s">
        <v>1301</v>
      </c>
      <c r="E1717" t="s">
        <v>3271</v>
      </c>
      <c r="F1717">
        <v>1</v>
      </c>
      <c r="I1717">
        <v>21</v>
      </c>
      <c r="J1717">
        <v>29</v>
      </c>
      <c r="M1717" t="s">
        <v>3271</v>
      </c>
    </row>
    <row r="1718" spans="1:13" x14ac:dyDescent="0.35">
      <c r="A1718">
        <v>103848</v>
      </c>
      <c r="B1718">
        <v>1650</v>
      </c>
      <c r="C1718" t="s">
        <v>602</v>
      </c>
      <c r="D1718" t="s">
        <v>1066</v>
      </c>
      <c r="E1718" t="s">
        <v>3272</v>
      </c>
      <c r="F1718">
        <v>4166513</v>
      </c>
      <c r="G1718">
        <v>225254</v>
      </c>
      <c r="H1718" t="s">
        <v>964</v>
      </c>
      <c r="I1718">
        <v>21</v>
      </c>
      <c r="J1718">
        <v>22</v>
      </c>
      <c r="K1718" t="s">
        <v>1068</v>
      </c>
      <c r="L1718" t="s">
        <v>965</v>
      </c>
      <c r="M1718" t="s">
        <v>3273</v>
      </c>
    </row>
    <row r="1719" spans="1:13" x14ac:dyDescent="0.35">
      <c r="A1719">
        <v>0</v>
      </c>
      <c r="B1719">
        <v>2702</v>
      </c>
      <c r="C1719" t="s">
        <v>602</v>
      </c>
      <c r="D1719" t="s">
        <v>960</v>
      </c>
      <c r="E1719" t="s">
        <v>3274</v>
      </c>
      <c r="H1719" t="s">
        <v>964</v>
      </c>
      <c r="I1719">
        <v>20</v>
      </c>
      <c r="J1719">
        <v>28</v>
      </c>
      <c r="M1719" t="s">
        <v>3275</v>
      </c>
    </row>
    <row r="1720" spans="1:13" x14ac:dyDescent="0.35">
      <c r="A1720">
        <v>0</v>
      </c>
      <c r="B1720">
        <v>2771</v>
      </c>
      <c r="C1720" t="s">
        <v>602</v>
      </c>
      <c r="D1720" t="s">
        <v>3203</v>
      </c>
      <c r="E1720" t="s">
        <v>3276</v>
      </c>
      <c r="H1720" t="s">
        <v>964</v>
      </c>
      <c r="I1720">
        <v>20</v>
      </c>
      <c r="J1720">
        <v>15</v>
      </c>
      <c r="K1720" t="s">
        <v>3277</v>
      </c>
      <c r="L1720" t="s">
        <v>965</v>
      </c>
      <c r="M1720" t="s">
        <v>3276</v>
      </c>
    </row>
    <row r="1721" spans="1:13" x14ac:dyDescent="0.35">
      <c r="A1721">
        <v>0</v>
      </c>
      <c r="B1721">
        <v>3231</v>
      </c>
      <c r="C1721" t="s">
        <v>602</v>
      </c>
      <c r="D1721" t="s">
        <v>3102</v>
      </c>
      <c r="E1721" t="s">
        <v>3278</v>
      </c>
      <c r="G1721">
        <v>0</v>
      </c>
      <c r="H1721" t="s">
        <v>964</v>
      </c>
      <c r="I1721">
        <v>20</v>
      </c>
      <c r="J1721">
        <v>19</v>
      </c>
      <c r="L1721" t="s">
        <v>965</v>
      </c>
      <c r="M1721" t="s">
        <v>3278</v>
      </c>
    </row>
    <row r="1722" spans="1:13" x14ac:dyDescent="0.35">
      <c r="A1722">
        <v>104116</v>
      </c>
      <c r="B1722">
        <v>1676</v>
      </c>
      <c r="C1722" t="s">
        <v>602</v>
      </c>
      <c r="D1722" t="s">
        <v>1066</v>
      </c>
      <c r="E1722" t="s">
        <v>3279</v>
      </c>
      <c r="F1722">
        <v>4166534</v>
      </c>
      <c r="G1722">
        <v>226378</v>
      </c>
      <c r="H1722" t="s">
        <v>964</v>
      </c>
      <c r="I1722">
        <v>20</v>
      </c>
      <c r="J1722">
        <v>20</v>
      </c>
      <c r="K1722" t="s">
        <v>1068</v>
      </c>
      <c r="L1722" t="s">
        <v>965</v>
      </c>
      <c r="M1722" t="s">
        <v>3280</v>
      </c>
    </row>
    <row r="1723" spans="1:13" x14ac:dyDescent="0.35">
      <c r="A1723">
        <v>101500</v>
      </c>
      <c r="B1723">
        <v>1098</v>
      </c>
      <c r="C1723" t="s">
        <v>602</v>
      </c>
      <c r="D1723" t="s">
        <v>962</v>
      </c>
      <c r="E1723" t="s">
        <v>3281</v>
      </c>
      <c r="F1723">
        <v>3634</v>
      </c>
      <c r="G1723">
        <v>221521</v>
      </c>
      <c r="H1723" t="s">
        <v>964</v>
      </c>
      <c r="I1723">
        <v>20</v>
      </c>
      <c r="J1723">
        <v>20</v>
      </c>
      <c r="K1723" t="s">
        <v>979</v>
      </c>
      <c r="L1723" t="s">
        <v>965</v>
      </c>
      <c r="M1723" t="s">
        <v>3282</v>
      </c>
    </row>
    <row r="1724" spans="1:13" x14ac:dyDescent="0.35">
      <c r="A1724">
        <v>0</v>
      </c>
      <c r="B1724">
        <v>2770</v>
      </c>
      <c r="C1724" t="s">
        <v>602</v>
      </c>
      <c r="D1724" t="s">
        <v>3203</v>
      </c>
      <c r="E1724" t="s">
        <v>3283</v>
      </c>
      <c r="F1724">
        <v>4797408</v>
      </c>
      <c r="H1724" t="s">
        <v>964</v>
      </c>
      <c r="I1724">
        <v>19</v>
      </c>
      <c r="J1724">
        <v>14</v>
      </c>
      <c r="L1724" t="s">
        <v>965</v>
      </c>
      <c r="M1724" t="s">
        <v>3283</v>
      </c>
    </row>
    <row r="1725" spans="1:13" x14ac:dyDescent="0.35">
      <c r="A1725">
        <v>103452</v>
      </c>
      <c r="B1725">
        <v>1588</v>
      </c>
      <c r="C1725" t="s">
        <v>602</v>
      </c>
      <c r="D1725" t="s">
        <v>1066</v>
      </c>
      <c r="E1725" t="s">
        <v>3284</v>
      </c>
      <c r="F1725">
        <v>4166618</v>
      </c>
      <c r="G1725">
        <v>222763</v>
      </c>
      <c r="H1725" t="s">
        <v>964</v>
      </c>
      <c r="I1725">
        <v>19</v>
      </c>
      <c r="J1725">
        <v>19</v>
      </c>
      <c r="K1725" t="s">
        <v>1068</v>
      </c>
      <c r="L1725" t="s">
        <v>965</v>
      </c>
      <c r="M1725" t="s">
        <v>3285</v>
      </c>
    </row>
    <row r="1726" spans="1:13" x14ac:dyDescent="0.35">
      <c r="A1726">
        <v>0</v>
      </c>
      <c r="B1726">
        <v>2700</v>
      </c>
      <c r="C1726" t="s">
        <v>602</v>
      </c>
      <c r="D1726" t="s">
        <v>960</v>
      </c>
      <c r="E1726" t="s">
        <v>3286</v>
      </c>
      <c r="I1726">
        <v>19</v>
      </c>
      <c r="J1726">
        <v>26</v>
      </c>
      <c r="M1726" t="s">
        <v>3286</v>
      </c>
    </row>
    <row r="1727" spans="1:13" x14ac:dyDescent="0.35">
      <c r="A1727">
        <v>0</v>
      </c>
      <c r="B1727">
        <v>3107</v>
      </c>
      <c r="C1727" t="s">
        <v>602</v>
      </c>
      <c r="D1727" t="s">
        <v>1243</v>
      </c>
      <c r="E1727" t="s">
        <v>3287</v>
      </c>
      <c r="F1727">
        <v>37</v>
      </c>
      <c r="G1727">
        <v>228539</v>
      </c>
      <c r="H1727" t="s">
        <v>964</v>
      </c>
      <c r="I1727">
        <v>19</v>
      </c>
      <c r="J1727">
        <v>22</v>
      </c>
      <c r="K1727" t="s">
        <v>1761</v>
      </c>
      <c r="M1727" t="s">
        <v>3287</v>
      </c>
    </row>
    <row r="1728" spans="1:13" x14ac:dyDescent="0.35">
      <c r="A1728">
        <v>0</v>
      </c>
      <c r="B1728">
        <v>3226</v>
      </c>
      <c r="C1728" t="s">
        <v>602</v>
      </c>
      <c r="D1728" t="s">
        <v>3102</v>
      </c>
      <c r="E1728" t="s">
        <v>3288</v>
      </c>
      <c r="G1728">
        <v>0</v>
      </c>
      <c r="H1728" t="s">
        <v>964</v>
      </c>
      <c r="I1728">
        <v>19</v>
      </c>
      <c r="J1728">
        <v>18</v>
      </c>
      <c r="M1728" t="s">
        <v>3288</v>
      </c>
    </row>
    <row r="1729" spans="1:13" x14ac:dyDescent="0.35">
      <c r="A1729">
        <v>0</v>
      </c>
      <c r="B1729">
        <v>3225</v>
      </c>
      <c r="C1729" t="s">
        <v>602</v>
      </c>
      <c r="D1729" t="s">
        <v>3102</v>
      </c>
      <c r="E1729" t="s">
        <v>3289</v>
      </c>
      <c r="G1729">
        <v>0</v>
      </c>
      <c r="H1729" t="s">
        <v>964</v>
      </c>
      <c r="I1729">
        <v>18</v>
      </c>
      <c r="J1729">
        <v>17</v>
      </c>
      <c r="M1729" t="s">
        <v>3289</v>
      </c>
    </row>
    <row r="1730" spans="1:13" x14ac:dyDescent="0.35">
      <c r="A1730">
        <v>103389</v>
      </c>
      <c r="B1730">
        <v>1538</v>
      </c>
      <c r="C1730" t="s">
        <v>602</v>
      </c>
      <c r="D1730" t="s">
        <v>1066</v>
      </c>
      <c r="E1730" t="s">
        <v>3290</v>
      </c>
      <c r="F1730">
        <v>4166585</v>
      </c>
      <c r="G1730">
        <v>222693</v>
      </c>
      <c r="H1730" t="s">
        <v>964</v>
      </c>
      <c r="I1730">
        <v>18</v>
      </c>
      <c r="J1730">
        <v>18</v>
      </c>
      <c r="K1730" t="s">
        <v>1068</v>
      </c>
      <c r="L1730" t="s">
        <v>965</v>
      </c>
      <c r="M1730" t="s">
        <v>3291</v>
      </c>
    </row>
    <row r="1731" spans="1:13" x14ac:dyDescent="0.35">
      <c r="A1731">
        <v>103644</v>
      </c>
      <c r="B1731">
        <v>1200</v>
      </c>
      <c r="C1731" t="s">
        <v>602</v>
      </c>
      <c r="D1731" t="s">
        <v>962</v>
      </c>
      <c r="E1731" t="s">
        <v>3292</v>
      </c>
      <c r="F1731">
        <v>4272</v>
      </c>
      <c r="G1731">
        <v>223058</v>
      </c>
      <c r="H1731" t="s">
        <v>964</v>
      </c>
      <c r="I1731">
        <v>18</v>
      </c>
      <c r="J1731">
        <v>18</v>
      </c>
      <c r="K1731" t="s">
        <v>977</v>
      </c>
      <c r="L1731" t="s">
        <v>965</v>
      </c>
      <c r="M1731" t="s">
        <v>3293</v>
      </c>
    </row>
    <row r="1732" spans="1:13" x14ac:dyDescent="0.35">
      <c r="A1732">
        <v>0</v>
      </c>
      <c r="B1732">
        <v>3458</v>
      </c>
      <c r="C1732" t="s">
        <v>602</v>
      </c>
      <c r="D1732" t="s">
        <v>3237</v>
      </c>
      <c r="E1732" t="s">
        <v>3294</v>
      </c>
      <c r="F1732">
        <v>4797993</v>
      </c>
      <c r="G1732">
        <v>0</v>
      </c>
      <c r="H1732" t="s">
        <v>964</v>
      </c>
      <c r="I1732">
        <v>17</v>
      </c>
      <c r="J1732">
        <v>12</v>
      </c>
      <c r="L1732" t="s">
        <v>965</v>
      </c>
    </row>
    <row r="1733" spans="1:13" x14ac:dyDescent="0.35">
      <c r="A1733">
        <v>103575</v>
      </c>
      <c r="B1733">
        <v>1629</v>
      </c>
      <c r="C1733" t="s">
        <v>602</v>
      </c>
      <c r="D1733" t="s">
        <v>1066</v>
      </c>
      <c r="E1733" t="s">
        <v>3295</v>
      </c>
      <c r="F1733">
        <v>4166625</v>
      </c>
      <c r="G1733">
        <v>222975</v>
      </c>
      <c r="H1733" t="s">
        <v>964</v>
      </c>
      <c r="I1733">
        <v>17</v>
      </c>
      <c r="J1733">
        <v>17</v>
      </c>
      <c r="K1733" t="s">
        <v>1068</v>
      </c>
      <c r="L1733" t="s">
        <v>965</v>
      </c>
      <c r="M1733" t="s">
        <v>3296</v>
      </c>
    </row>
    <row r="1734" spans="1:13" x14ac:dyDescent="0.35">
      <c r="A1734">
        <v>0</v>
      </c>
      <c r="B1734">
        <v>3224</v>
      </c>
      <c r="C1734" t="s">
        <v>602</v>
      </c>
      <c r="D1734" t="s">
        <v>3102</v>
      </c>
      <c r="E1734" t="s">
        <v>3297</v>
      </c>
      <c r="G1734">
        <v>0</v>
      </c>
      <c r="H1734" t="s">
        <v>964</v>
      </c>
      <c r="I1734">
        <v>17</v>
      </c>
      <c r="J1734">
        <v>16</v>
      </c>
      <c r="L1734" t="s">
        <v>965</v>
      </c>
      <c r="M1734" t="s">
        <v>3297</v>
      </c>
    </row>
    <row r="1735" spans="1:13" x14ac:dyDescent="0.35">
      <c r="A1735">
        <v>101550</v>
      </c>
      <c r="B1735">
        <v>1143</v>
      </c>
      <c r="C1735" t="s">
        <v>602</v>
      </c>
      <c r="D1735" t="s">
        <v>962</v>
      </c>
      <c r="E1735" t="s">
        <v>3298</v>
      </c>
      <c r="F1735">
        <v>3727</v>
      </c>
      <c r="G1735">
        <v>222013</v>
      </c>
      <c r="H1735" t="s">
        <v>964</v>
      </c>
      <c r="I1735">
        <v>17</v>
      </c>
      <c r="J1735">
        <v>17</v>
      </c>
      <c r="K1735" t="s">
        <v>979</v>
      </c>
      <c r="L1735" t="s">
        <v>965</v>
      </c>
      <c r="M1735" t="s">
        <v>3299</v>
      </c>
    </row>
    <row r="1736" spans="1:13" x14ac:dyDescent="0.35">
      <c r="A1736">
        <v>101595</v>
      </c>
      <c r="B1736">
        <v>1188</v>
      </c>
      <c r="C1736" t="s">
        <v>602</v>
      </c>
      <c r="D1736" t="s">
        <v>962</v>
      </c>
      <c r="E1736" t="s">
        <v>3300</v>
      </c>
      <c r="F1736">
        <v>4027</v>
      </c>
      <c r="G1736">
        <v>222758</v>
      </c>
      <c r="H1736" t="s">
        <v>964</v>
      </c>
      <c r="I1736">
        <v>16</v>
      </c>
      <c r="J1736">
        <v>16</v>
      </c>
      <c r="K1736" t="s">
        <v>1051</v>
      </c>
      <c r="L1736" t="s">
        <v>965</v>
      </c>
      <c r="M1736" t="s">
        <v>3301</v>
      </c>
    </row>
    <row r="1737" spans="1:13" x14ac:dyDescent="0.35">
      <c r="A1737">
        <v>0</v>
      </c>
      <c r="B1737">
        <v>3223</v>
      </c>
      <c r="C1737" t="s">
        <v>602</v>
      </c>
      <c r="D1737" t="s">
        <v>3102</v>
      </c>
      <c r="E1737" t="s">
        <v>3302</v>
      </c>
      <c r="G1737">
        <v>0</v>
      </c>
      <c r="H1737" t="s">
        <v>964</v>
      </c>
      <c r="I1737">
        <v>16</v>
      </c>
      <c r="J1737">
        <v>15</v>
      </c>
      <c r="L1737" t="s">
        <v>965</v>
      </c>
      <c r="M1737" t="s">
        <v>3302</v>
      </c>
    </row>
    <row r="1738" spans="1:13" x14ac:dyDescent="0.35">
      <c r="A1738">
        <v>103453</v>
      </c>
      <c r="B1738">
        <v>1589</v>
      </c>
      <c r="C1738" t="s">
        <v>602</v>
      </c>
      <c r="D1738" t="s">
        <v>1066</v>
      </c>
      <c r="E1738" t="s">
        <v>3303</v>
      </c>
      <c r="F1738">
        <v>4166616</v>
      </c>
      <c r="G1738">
        <v>222764</v>
      </c>
      <c r="H1738" t="s">
        <v>964</v>
      </c>
      <c r="I1738">
        <v>16</v>
      </c>
      <c r="J1738">
        <v>16</v>
      </c>
      <c r="K1738" t="s">
        <v>1068</v>
      </c>
      <c r="L1738" t="s">
        <v>965</v>
      </c>
      <c r="M1738" t="s">
        <v>3304</v>
      </c>
    </row>
    <row r="1739" spans="1:13" x14ac:dyDescent="0.35">
      <c r="A1739">
        <v>0</v>
      </c>
      <c r="B1739">
        <v>3376</v>
      </c>
      <c r="C1739" t="s">
        <v>602</v>
      </c>
      <c r="D1739" t="s">
        <v>3102</v>
      </c>
      <c r="E1739" t="s">
        <v>3305</v>
      </c>
      <c r="G1739">
        <v>0</v>
      </c>
      <c r="H1739" t="s">
        <v>964</v>
      </c>
      <c r="I1739">
        <v>15</v>
      </c>
      <c r="J1739">
        <v>14</v>
      </c>
      <c r="M1739" t="s">
        <v>3306</v>
      </c>
    </row>
    <row r="1740" spans="1:13" x14ac:dyDescent="0.35">
      <c r="A1740">
        <v>103854</v>
      </c>
      <c r="B1740">
        <v>1655</v>
      </c>
      <c r="C1740" t="s">
        <v>597</v>
      </c>
      <c r="D1740" t="s">
        <v>1066</v>
      </c>
      <c r="E1740" t="s">
        <v>3307</v>
      </c>
      <c r="F1740">
        <v>4166525</v>
      </c>
      <c r="G1740">
        <v>22974</v>
      </c>
      <c r="I1740">
        <v>15</v>
      </c>
      <c r="J1740">
        <v>15</v>
      </c>
      <c r="M1740" t="s">
        <v>3308</v>
      </c>
    </row>
    <row r="1741" spans="1:13" x14ac:dyDescent="0.35">
      <c r="A1741">
        <v>0</v>
      </c>
      <c r="B1741">
        <v>3106</v>
      </c>
      <c r="C1741" t="s">
        <v>602</v>
      </c>
      <c r="D1741" t="s">
        <v>1243</v>
      </c>
      <c r="E1741" t="s">
        <v>3309</v>
      </c>
      <c r="F1741">
        <v>56</v>
      </c>
      <c r="G1741">
        <v>228538</v>
      </c>
      <c r="H1741" t="s">
        <v>964</v>
      </c>
      <c r="I1741">
        <v>15</v>
      </c>
      <c r="J1741">
        <v>18</v>
      </c>
      <c r="K1741" t="s">
        <v>1761</v>
      </c>
      <c r="M1741" t="s">
        <v>3309</v>
      </c>
    </row>
    <row r="1742" spans="1:13" x14ac:dyDescent="0.35">
      <c r="A1742">
        <v>101441</v>
      </c>
      <c r="B1742">
        <v>1054</v>
      </c>
      <c r="C1742" t="s">
        <v>602</v>
      </c>
      <c r="D1742" t="s">
        <v>962</v>
      </c>
      <c r="E1742" t="s">
        <v>3310</v>
      </c>
      <c r="F1742">
        <v>3518</v>
      </c>
      <c r="G1742">
        <v>220686</v>
      </c>
      <c r="H1742" t="s">
        <v>964</v>
      </c>
      <c r="I1742">
        <v>15</v>
      </c>
      <c r="J1742">
        <v>15</v>
      </c>
      <c r="K1742" t="s">
        <v>979</v>
      </c>
      <c r="L1742" t="s">
        <v>965</v>
      </c>
      <c r="M1742" t="s">
        <v>3311</v>
      </c>
    </row>
    <row r="1743" spans="1:13" x14ac:dyDescent="0.35">
      <c r="A1743">
        <v>101425</v>
      </c>
      <c r="B1743">
        <v>1039</v>
      </c>
      <c r="C1743" t="s">
        <v>602</v>
      </c>
      <c r="D1743" t="s">
        <v>962</v>
      </c>
      <c r="E1743" t="s">
        <v>3312</v>
      </c>
      <c r="F1743">
        <v>3608</v>
      </c>
      <c r="G1743">
        <v>21767</v>
      </c>
      <c r="H1743" t="s">
        <v>964</v>
      </c>
      <c r="I1743">
        <v>14</v>
      </c>
      <c r="J1743">
        <v>14</v>
      </c>
      <c r="K1743" t="s">
        <v>3313</v>
      </c>
      <c r="L1743" t="s">
        <v>965</v>
      </c>
    </row>
    <row r="1744" spans="1:13" x14ac:dyDescent="0.35">
      <c r="A1744">
        <v>103459</v>
      </c>
      <c r="B1744">
        <v>1595</v>
      </c>
      <c r="C1744" t="s">
        <v>597</v>
      </c>
      <c r="D1744" t="s">
        <v>1066</v>
      </c>
      <c r="E1744" t="s">
        <v>3314</v>
      </c>
      <c r="F1744">
        <v>4166668</v>
      </c>
      <c r="G1744">
        <v>222772</v>
      </c>
      <c r="I1744">
        <v>14</v>
      </c>
      <c r="J1744">
        <v>14</v>
      </c>
      <c r="M1744" t="s">
        <v>3315</v>
      </c>
    </row>
    <row r="1745" spans="1:13" x14ac:dyDescent="0.35">
      <c r="A1745">
        <v>103852</v>
      </c>
      <c r="B1745">
        <v>1653</v>
      </c>
      <c r="C1745" t="s">
        <v>602</v>
      </c>
      <c r="D1745" t="s">
        <v>1066</v>
      </c>
      <c r="E1745" t="s">
        <v>3316</v>
      </c>
      <c r="F1745">
        <v>4166517</v>
      </c>
      <c r="G1745">
        <v>225261</v>
      </c>
      <c r="H1745" t="s">
        <v>964</v>
      </c>
      <c r="I1745">
        <v>13</v>
      </c>
      <c r="J1745">
        <v>13</v>
      </c>
      <c r="K1745" t="s">
        <v>1068</v>
      </c>
      <c r="L1745" t="s">
        <v>965</v>
      </c>
      <c r="M1745" t="s">
        <v>3317</v>
      </c>
    </row>
    <row r="1746" spans="1:13" x14ac:dyDescent="0.35">
      <c r="A1746">
        <v>0</v>
      </c>
      <c r="B1746">
        <v>2699</v>
      </c>
      <c r="C1746" t="s">
        <v>602</v>
      </c>
      <c r="D1746" t="s">
        <v>3318</v>
      </c>
      <c r="E1746" t="s">
        <v>3319</v>
      </c>
      <c r="F1746">
        <v>198</v>
      </c>
      <c r="I1746">
        <v>13</v>
      </c>
      <c r="J1746">
        <v>22</v>
      </c>
      <c r="K1746" t="s">
        <v>1245</v>
      </c>
      <c r="L1746" t="s">
        <v>965</v>
      </c>
      <c r="M1746" t="s">
        <v>3320</v>
      </c>
    </row>
    <row r="1747" spans="1:13" x14ac:dyDescent="0.35">
      <c r="A1747">
        <v>101493</v>
      </c>
      <c r="B1747">
        <v>1091</v>
      </c>
      <c r="C1747" t="s">
        <v>602</v>
      </c>
      <c r="D1747" t="s">
        <v>962</v>
      </c>
      <c r="E1747" t="s">
        <v>3321</v>
      </c>
      <c r="F1747">
        <v>3694</v>
      </c>
      <c r="G1747">
        <v>221462</v>
      </c>
      <c r="H1747" t="s">
        <v>964</v>
      </c>
      <c r="I1747">
        <v>13</v>
      </c>
      <c r="J1747">
        <v>13</v>
      </c>
      <c r="K1747" t="s">
        <v>1051</v>
      </c>
      <c r="L1747" t="s">
        <v>980</v>
      </c>
      <c r="M1747" t="s">
        <v>3322</v>
      </c>
    </row>
    <row r="1748" spans="1:13" x14ac:dyDescent="0.35">
      <c r="A1748">
        <v>103427</v>
      </c>
      <c r="B1748">
        <v>1570</v>
      </c>
      <c r="C1748" t="s">
        <v>597</v>
      </c>
      <c r="D1748" t="s">
        <v>1066</v>
      </c>
      <c r="E1748" t="s">
        <v>3323</v>
      </c>
      <c r="I1748">
        <v>12</v>
      </c>
      <c r="J1748">
        <v>12</v>
      </c>
      <c r="M1748" t="s">
        <v>3324</v>
      </c>
    </row>
    <row r="1749" spans="1:13" x14ac:dyDescent="0.35">
      <c r="A1749">
        <v>101506</v>
      </c>
      <c r="B1749">
        <v>1103</v>
      </c>
      <c r="C1749" t="s">
        <v>602</v>
      </c>
      <c r="D1749" t="s">
        <v>962</v>
      </c>
      <c r="E1749" t="s">
        <v>3325</v>
      </c>
      <c r="F1749">
        <v>3757</v>
      </c>
      <c r="G1749">
        <v>221585</v>
      </c>
      <c r="H1749" t="s">
        <v>964</v>
      </c>
      <c r="I1749">
        <v>12</v>
      </c>
      <c r="J1749">
        <v>12</v>
      </c>
      <c r="K1749" t="s">
        <v>1051</v>
      </c>
      <c r="L1749" t="s">
        <v>965</v>
      </c>
      <c r="M1749" t="s">
        <v>3326</v>
      </c>
    </row>
    <row r="1750" spans="1:13" x14ac:dyDescent="0.35">
      <c r="A1750">
        <v>0</v>
      </c>
      <c r="B1750">
        <v>3478</v>
      </c>
      <c r="C1750" t="s">
        <v>597</v>
      </c>
      <c r="D1750" t="s">
        <v>3318</v>
      </c>
      <c r="E1750" t="s">
        <v>3327</v>
      </c>
      <c r="G1750">
        <v>0</v>
      </c>
      <c r="H1750" t="s">
        <v>964</v>
      </c>
      <c r="I1750">
        <v>12</v>
      </c>
      <c r="J1750">
        <v>21</v>
      </c>
      <c r="M1750" t="s">
        <v>3328</v>
      </c>
    </row>
    <row r="1751" spans="1:13" x14ac:dyDescent="0.35">
      <c r="A1751">
        <v>0</v>
      </c>
      <c r="B1751">
        <v>2698</v>
      </c>
      <c r="C1751" t="s">
        <v>602</v>
      </c>
      <c r="D1751" t="s">
        <v>3318</v>
      </c>
      <c r="E1751" t="s">
        <v>3329</v>
      </c>
      <c r="F1751">
        <v>199</v>
      </c>
      <c r="I1751">
        <v>12</v>
      </c>
      <c r="J1751">
        <v>21</v>
      </c>
      <c r="K1751" t="s">
        <v>1245</v>
      </c>
      <c r="M1751" t="s">
        <v>3328</v>
      </c>
    </row>
    <row r="1752" spans="1:13" x14ac:dyDescent="0.35">
      <c r="A1752">
        <v>0</v>
      </c>
      <c r="B1752">
        <v>2697</v>
      </c>
      <c r="C1752" t="s">
        <v>602</v>
      </c>
      <c r="D1752" t="s">
        <v>3318</v>
      </c>
      <c r="E1752" t="s">
        <v>3330</v>
      </c>
      <c r="F1752">
        <v>197</v>
      </c>
      <c r="I1752">
        <v>11</v>
      </c>
      <c r="J1752">
        <v>20</v>
      </c>
      <c r="K1752" t="s">
        <v>1245</v>
      </c>
      <c r="M1752" t="s">
        <v>3330</v>
      </c>
    </row>
    <row r="1753" spans="1:13" x14ac:dyDescent="0.35">
      <c r="A1753">
        <v>0</v>
      </c>
      <c r="B1753">
        <v>3156</v>
      </c>
      <c r="C1753" t="s">
        <v>602</v>
      </c>
      <c r="D1753" t="s">
        <v>3331</v>
      </c>
      <c r="E1753" t="s">
        <v>3332</v>
      </c>
      <c r="I1753">
        <v>11</v>
      </c>
      <c r="J1753">
        <v>14</v>
      </c>
      <c r="M1753" t="s">
        <v>3332</v>
      </c>
    </row>
    <row r="1754" spans="1:13" x14ac:dyDescent="0.35">
      <c r="A1754">
        <v>101375</v>
      </c>
      <c r="B1754">
        <v>1001</v>
      </c>
      <c r="C1754" t="s">
        <v>602</v>
      </c>
      <c r="D1754" t="s">
        <v>962</v>
      </c>
      <c r="E1754" t="s">
        <v>3333</v>
      </c>
      <c r="F1754">
        <v>3485</v>
      </c>
      <c r="G1754">
        <v>219731</v>
      </c>
      <c r="H1754" t="s">
        <v>964</v>
      </c>
      <c r="I1754">
        <v>11</v>
      </c>
      <c r="J1754">
        <v>11</v>
      </c>
      <c r="K1754" t="s">
        <v>1051</v>
      </c>
      <c r="L1754" t="s">
        <v>980</v>
      </c>
      <c r="M1754" t="s">
        <v>3334</v>
      </c>
    </row>
    <row r="1755" spans="1:13" x14ac:dyDescent="0.35">
      <c r="A1755">
        <v>103880</v>
      </c>
      <c r="B1755">
        <v>1667</v>
      </c>
      <c r="C1755" t="s">
        <v>602</v>
      </c>
      <c r="D1755" t="s">
        <v>1066</v>
      </c>
      <c r="E1755" t="s">
        <v>3335</v>
      </c>
      <c r="F1755">
        <v>4166522</v>
      </c>
      <c r="G1755">
        <v>225307</v>
      </c>
      <c r="H1755" t="s">
        <v>964</v>
      </c>
      <c r="I1755">
        <v>11</v>
      </c>
      <c r="J1755">
        <v>11</v>
      </c>
      <c r="K1755" t="s">
        <v>1068</v>
      </c>
      <c r="L1755" t="s">
        <v>965</v>
      </c>
      <c r="M1755" t="s">
        <v>3336</v>
      </c>
    </row>
    <row r="1756" spans="1:13" x14ac:dyDescent="0.35">
      <c r="A1756">
        <v>102112</v>
      </c>
      <c r="B1756">
        <v>1411</v>
      </c>
      <c r="C1756" t="s">
        <v>602</v>
      </c>
      <c r="D1756" t="s">
        <v>1066</v>
      </c>
      <c r="E1756" t="s">
        <v>3337</v>
      </c>
      <c r="F1756">
        <v>4166587</v>
      </c>
      <c r="G1756">
        <v>220794</v>
      </c>
      <c r="H1756" t="s">
        <v>964</v>
      </c>
      <c r="I1756">
        <v>10</v>
      </c>
      <c r="J1756">
        <v>10</v>
      </c>
      <c r="K1756" t="s">
        <v>1068</v>
      </c>
      <c r="L1756" t="s">
        <v>965</v>
      </c>
      <c r="M1756" t="s">
        <v>3338</v>
      </c>
    </row>
    <row r="1757" spans="1:13" x14ac:dyDescent="0.35">
      <c r="A1757">
        <v>0</v>
      </c>
      <c r="B1757">
        <v>3105</v>
      </c>
      <c r="C1757" t="s">
        <v>602</v>
      </c>
      <c r="D1757" t="s">
        <v>1243</v>
      </c>
      <c r="E1757" t="s">
        <v>3339</v>
      </c>
      <c r="F1757">
        <v>9999</v>
      </c>
      <c r="G1757">
        <v>0</v>
      </c>
      <c r="H1757" t="s">
        <v>964</v>
      </c>
      <c r="I1757">
        <v>10</v>
      </c>
      <c r="J1757">
        <v>13</v>
      </c>
      <c r="K1757" t="s">
        <v>1312</v>
      </c>
      <c r="M1757" t="s">
        <v>3339</v>
      </c>
    </row>
    <row r="1758" spans="1:13" x14ac:dyDescent="0.35">
      <c r="A1758">
        <v>101510</v>
      </c>
      <c r="B1758">
        <v>1105</v>
      </c>
      <c r="C1758" t="s">
        <v>602</v>
      </c>
      <c r="D1758" t="s">
        <v>962</v>
      </c>
      <c r="E1758" t="s">
        <v>3340</v>
      </c>
      <c r="F1758">
        <v>3739</v>
      </c>
      <c r="G1758">
        <v>221629</v>
      </c>
      <c r="H1758" t="s">
        <v>964</v>
      </c>
      <c r="I1758">
        <v>10</v>
      </c>
      <c r="J1758">
        <v>10</v>
      </c>
      <c r="K1758" t="s">
        <v>1051</v>
      </c>
      <c r="L1758" t="s">
        <v>980</v>
      </c>
      <c r="M1758" t="s">
        <v>3341</v>
      </c>
    </row>
    <row r="1759" spans="1:13" x14ac:dyDescent="0.35">
      <c r="A1759">
        <v>0</v>
      </c>
      <c r="B1759">
        <v>3456</v>
      </c>
      <c r="C1759" t="s">
        <v>602</v>
      </c>
      <c r="D1759" t="s">
        <v>3237</v>
      </c>
      <c r="E1759" t="s">
        <v>3342</v>
      </c>
      <c r="F1759">
        <v>4797992</v>
      </c>
      <c r="G1759">
        <v>0</v>
      </c>
      <c r="H1759" t="s">
        <v>964</v>
      </c>
      <c r="I1759">
        <v>9</v>
      </c>
      <c r="J1759">
        <v>10</v>
      </c>
      <c r="K1759" t="s">
        <v>1532</v>
      </c>
      <c r="L1759" t="s">
        <v>965</v>
      </c>
      <c r="M1759" t="s">
        <v>3343</v>
      </c>
    </row>
    <row r="1760" spans="1:13" x14ac:dyDescent="0.35">
      <c r="A1760">
        <v>101556</v>
      </c>
      <c r="B1760">
        <v>1149</v>
      </c>
      <c r="C1760" t="s">
        <v>602</v>
      </c>
      <c r="D1760" t="s">
        <v>3102</v>
      </c>
      <c r="E1760" t="s">
        <v>3344</v>
      </c>
      <c r="F1760">
        <v>9999</v>
      </c>
      <c r="G1760">
        <v>222104</v>
      </c>
      <c r="H1760" t="s">
        <v>964</v>
      </c>
      <c r="I1760">
        <v>9</v>
      </c>
      <c r="J1760">
        <v>8</v>
      </c>
      <c r="M1760" t="s">
        <v>3345</v>
      </c>
    </row>
    <row r="1761" spans="1:13" x14ac:dyDescent="0.35">
      <c r="A1761">
        <v>101995</v>
      </c>
      <c r="B1761">
        <v>1373</v>
      </c>
      <c r="C1761" t="s">
        <v>602</v>
      </c>
      <c r="D1761" t="s">
        <v>1066</v>
      </c>
      <c r="E1761" t="s">
        <v>3346</v>
      </c>
      <c r="F1761">
        <v>4166615</v>
      </c>
      <c r="G1761">
        <v>222595</v>
      </c>
      <c r="H1761" t="s">
        <v>964</v>
      </c>
      <c r="I1761">
        <v>9</v>
      </c>
      <c r="J1761">
        <v>9</v>
      </c>
      <c r="K1761" t="s">
        <v>1068</v>
      </c>
      <c r="L1761" t="s">
        <v>965</v>
      </c>
      <c r="M1761" t="s">
        <v>3347</v>
      </c>
    </row>
    <row r="1762" spans="1:13" x14ac:dyDescent="0.35">
      <c r="A1762">
        <v>0</v>
      </c>
      <c r="B1762">
        <v>3176</v>
      </c>
      <c r="C1762" t="s">
        <v>602</v>
      </c>
      <c r="D1762" t="s">
        <v>1301</v>
      </c>
      <c r="E1762" t="s">
        <v>3348</v>
      </c>
      <c r="I1762">
        <v>9</v>
      </c>
      <c r="J1762">
        <v>348</v>
      </c>
      <c r="M1762" t="s">
        <v>3348</v>
      </c>
    </row>
    <row r="1763" spans="1:13" x14ac:dyDescent="0.35">
      <c r="A1763">
        <v>101258</v>
      </c>
      <c r="B1763">
        <v>960</v>
      </c>
      <c r="C1763" t="s">
        <v>602</v>
      </c>
      <c r="D1763" t="s">
        <v>962</v>
      </c>
      <c r="E1763" t="s">
        <v>3349</v>
      </c>
      <c r="F1763">
        <v>3457</v>
      </c>
      <c r="G1763">
        <v>219662</v>
      </c>
      <c r="H1763" t="s">
        <v>964</v>
      </c>
      <c r="I1763">
        <v>9</v>
      </c>
      <c r="J1763">
        <v>9</v>
      </c>
      <c r="K1763" t="s">
        <v>1051</v>
      </c>
      <c r="L1763" t="s">
        <v>965</v>
      </c>
      <c r="M1763" t="s">
        <v>3350</v>
      </c>
    </row>
    <row r="1764" spans="1:13" x14ac:dyDescent="0.35">
      <c r="A1764">
        <v>104272</v>
      </c>
      <c r="B1764">
        <v>1284</v>
      </c>
      <c r="C1764" t="s">
        <v>602</v>
      </c>
      <c r="D1764" t="s">
        <v>3351</v>
      </c>
      <c r="E1764" t="s">
        <v>3352</v>
      </c>
      <c r="G1764">
        <v>227609</v>
      </c>
      <c r="H1764" t="s">
        <v>964</v>
      </c>
      <c r="I1764">
        <v>9</v>
      </c>
      <c r="J1764">
        <v>6</v>
      </c>
    </row>
    <row r="1765" spans="1:13" x14ac:dyDescent="0.35">
      <c r="A1765">
        <v>0</v>
      </c>
      <c r="B1765">
        <v>3155</v>
      </c>
      <c r="C1765" t="s">
        <v>602</v>
      </c>
      <c r="D1765" t="s">
        <v>3331</v>
      </c>
      <c r="E1765" t="s">
        <v>3353</v>
      </c>
      <c r="I1765">
        <v>9</v>
      </c>
      <c r="J1765">
        <v>12</v>
      </c>
      <c r="M1765" t="s">
        <v>3353</v>
      </c>
    </row>
    <row r="1766" spans="1:13" x14ac:dyDescent="0.35">
      <c r="A1766">
        <v>0</v>
      </c>
      <c r="B1766">
        <v>2695</v>
      </c>
      <c r="C1766" t="s">
        <v>602</v>
      </c>
      <c r="D1766" t="s">
        <v>1301</v>
      </c>
      <c r="E1766" t="s">
        <v>3354</v>
      </c>
      <c r="F1766">
        <v>5</v>
      </c>
      <c r="I1766">
        <v>8</v>
      </c>
      <c r="J1766">
        <v>11</v>
      </c>
      <c r="M1766" t="s">
        <v>3354</v>
      </c>
    </row>
    <row r="1767" spans="1:13" x14ac:dyDescent="0.35">
      <c r="A1767">
        <v>101442</v>
      </c>
      <c r="B1767">
        <v>1055</v>
      </c>
      <c r="C1767" t="s">
        <v>602</v>
      </c>
      <c r="D1767" t="s">
        <v>962</v>
      </c>
      <c r="E1767" t="s">
        <v>3355</v>
      </c>
      <c r="F1767">
        <v>3519</v>
      </c>
      <c r="G1767">
        <v>220687</v>
      </c>
      <c r="H1767" t="s">
        <v>964</v>
      </c>
      <c r="I1767">
        <v>8</v>
      </c>
      <c r="J1767">
        <v>8</v>
      </c>
      <c r="K1767" t="s">
        <v>979</v>
      </c>
      <c r="L1767" t="s">
        <v>965</v>
      </c>
      <c r="M1767" t="s">
        <v>3356</v>
      </c>
    </row>
    <row r="1768" spans="1:13" x14ac:dyDescent="0.35">
      <c r="A1768">
        <v>104267</v>
      </c>
      <c r="B1768">
        <v>1282</v>
      </c>
      <c r="C1768" t="s">
        <v>602</v>
      </c>
      <c r="D1768" t="s">
        <v>3351</v>
      </c>
      <c r="E1768" t="s">
        <v>3357</v>
      </c>
      <c r="F1768">
        <v>9998</v>
      </c>
      <c r="G1768">
        <v>227582</v>
      </c>
      <c r="H1768" t="s">
        <v>964</v>
      </c>
      <c r="I1768">
        <v>8</v>
      </c>
      <c r="J1768">
        <v>5</v>
      </c>
    </row>
    <row r="1769" spans="1:13" x14ac:dyDescent="0.35">
      <c r="A1769">
        <v>103350</v>
      </c>
      <c r="B1769">
        <v>1515</v>
      </c>
      <c r="C1769" t="s">
        <v>602</v>
      </c>
      <c r="D1769" t="s">
        <v>1066</v>
      </c>
      <c r="E1769" t="s">
        <v>3358</v>
      </c>
      <c r="F1769">
        <v>4166677</v>
      </c>
      <c r="G1769">
        <v>217714</v>
      </c>
      <c r="H1769" t="s">
        <v>964</v>
      </c>
      <c r="I1769">
        <v>8</v>
      </c>
      <c r="J1769">
        <v>8</v>
      </c>
      <c r="K1769" t="s">
        <v>1068</v>
      </c>
      <c r="L1769" t="s">
        <v>965</v>
      </c>
      <c r="M1769" t="s">
        <v>3359</v>
      </c>
    </row>
    <row r="1770" spans="1:13" x14ac:dyDescent="0.35">
      <c r="A1770">
        <v>103318</v>
      </c>
      <c r="B1770">
        <v>1501</v>
      </c>
      <c r="C1770" t="s">
        <v>602</v>
      </c>
      <c r="D1770" t="s">
        <v>3237</v>
      </c>
      <c r="E1770" t="s">
        <v>71</v>
      </c>
      <c r="G1770">
        <v>3196</v>
      </c>
      <c r="H1770" t="s">
        <v>964</v>
      </c>
      <c r="I1770">
        <v>8</v>
      </c>
      <c r="J1770">
        <v>9</v>
      </c>
      <c r="M1770" t="s">
        <v>3360</v>
      </c>
    </row>
    <row r="1771" spans="1:13" x14ac:dyDescent="0.35">
      <c r="A1771">
        <v>0</v>
      </c>
      <c r="B1771">
        <v>2694</v>
      </c>
      <c r="C1771" t="s">
        <v>602</v>
      </c>
      <c r="D1771" t="s">
        <v>1301</v>
      </c>
      <c r="E1771" t="s">
        <v>3361</v>
      </c>
      <c r="F1771">
        <v>1</v>
      </c>
      <c r="I1771">
        <v>7</v>
      </c>
      <c r="J1771">
        <v>10</v>
      </c>
      <c r="M1771" t="s">
        <v>3361</v>
      </c>
    </row>
    <row r="1772" spans="1:13" x14ac:dyDescent="0.35">
      <c r="A1772">
        <v>103441</v>
      </c>
      <c r="B1772">
        <v>1584</v>
      </c>
      <c r="C1772" t="s">
        <v>602</v>
      </c>
      <c r="D1772" t="s">
        <v>1066</v>
      </c>
      <c r="E1772" t="s">
        <v>3362</v>
      </c>
      <c r="F1772">
        <v>4166609</v>
      </c>
      <c r="G1772">
        <v>222740</v>
      </c>
      <c r="H1772" t="s">
        <v>964</v>
      </c>
      <c r="I1772">
        <v>7</v>
      </c>
      <c r="J1772">
        <v>7</v>
      </c>
      <c r="K1772" t="s">
        <v>1068</v>
      </c>
      <c r="L1772" t="s">
        <v>965</v>
      </c>
      <c r="M1772" t="s">
        <v>3363</v>
      </c>
    </row>
    <row r="1773" spans="1:13" x14ac:dyDescent="0.35">
      <c r="A1773">
        <v>103209</v>
      </c>
      <c r="B1773">
        <v>1441</v>
      </c>
      <c r="C1773" t="s">
        <v>602</v>
      </c>
      <c r="D1773" t="s">
        <v>3237</v>
      </c>
      <c r="E1773" t="s">
        <v>3364</v>
      </c>
      <c r="F1773">
        <v>10000002</v>
      </c>
      <c r="G1773">
        <v>222272</v>
      </c>
      <c r="H1773" t="s">
        <v>964</v>
      </c>
      <c r="I1773">
        <v>6</v>
      </c>
      <c r="J1773">
        <v>5</v>
      </c>
      <c r="L1773" t="s">
        <v>965</v>
      </c>
      <c r="M1773" t="s">
        <v>3365</v>
      </c>
    </row>
    <row r="1774" spans="1:13" x14ac:dyDescent="0.35">
      <c r="A1774">
        <v>0</v>
      </c>
      <c r="B1774">
        <v>2693</v>
      </c>
      <c r="C1774" t="s">
        <v>602</v>
      </c>
      <c r="D1774" t="s">
        <v>1301</v>
      </c>
      <c r="E1774" t="s">
        <v>3366</v>
      </c>
      <c r="F1774">
        <v>6</v>
      </c>
      <c r="I1774">
        <v>6</v>
      </c>
      <c r="J1774">
        <v>8</v>
      </c>
      <c r="M1774" t="s">
        <v>3366</v>
      </c>
    </row>
    <row r="1775" spans="1:13" x14ac:dyDescent="0.35">
      <c r="A1775">
        <v>103860</v>
      </c>
      <c r="B1775">
        <v>1659</v>
      </c>
      <c r="C1775" t="s">
        <v>602</v>
      </c>
      <c r="D1775" t="s">
        <v>1066</v>
      </c>
      <c r="E1775" t="s">
        <v>3367</v>
      </c>
      <c r="F1775">
        <v>4166523</v>
      </c>
      <c r="G1775">
        <v>225266</v>
      </c>
      <c r="H1775" t="s">
        <v>964</v>
      </c>
      <c r="I1775">
        <v>6</v>
      </c>
      <c r="J1775">
        <v>6</v>
      </c>
      <c r="K1775" t="s">
        <v>1068</v>
      </c>
      <c r="L1775" t="s">
        <v>965</v>
      </c>
      <c r="M1775" t="s">
        <v>3368</v>
      </c>
    </row>
    <row r="1776" spans="1:13" x14ac:dyDescent="0.35">
      <c r="A1776">
        <v>101519</v>
      </c>
      <c r="B1776">
        <v>1114</v>
      </c>
      <c r="C1776" t="s">
        <v>602</v>
      </c>
      <c r="D1776" t="s">
        <v>962</v>
      </c>
      <c r="E1776" t="s">
        <v>3369</v>
      </c>
      <c r="F1776">
        <v>3767</v>
      </c>
      <c r="G1776">
        <v>221721</v>
      </c>
      <c r="H1776" t="s">
        <v>964</v>
      </c>
      <c r="I1776">
        <v>6</v>
      </c>
      <c r="J1776">
        <v>6</v>
      </c>
      <c r="K1776" t="s">
        <v>1051</v>
      </c>
      <c r="L1776" t="s">
        <v>965</v>
      </c>
      <c r="M1776" t="s">
        <v>3370</v>
      </c>
    </row>
    <row r="1777" spans="1:13" x14ac:dyDescent="0.35">
      <c r="A1777">
        <v>0</v>
      </c>
      <c r="B1777">
        <v>2692</v>
      </c>
      <c r="C1777" t="s">
        <v>602</v>
      </c>
      <c r="D1777" t="s">
        <v>1301</v>
      </c>
      <c r="E1777" t="s">
        <v>3371</v>
      </c>
      <c r="I1777">
        <v>5</v>
      </c>
      <c r="J1777">
        <v>7</v>
      </c>
      <c r="M1777" t="s">
        <v>3371</v>
      </c>
    </row>
    <row r="1778" spans="1:13" x14ac:dyDescent="0.35">
      <c r="A1778">
        <v>101433</v>
      </c>
      <c r="B1778">
        <v>1047</v>
      </c>
      <c r="C1778" t="s">
        <v>602</v>
      </c>
      <c r="D1778" t="s">
        <v>962</v>
      </c>
      <c r="E1778" t="s">
        <v>3372</v>
      </c>
      <c r="F1778">
        <v>3604</v>
      </c>
      <c r="G1778">
        <v>21856</v>
      </c>
      <c r="H1778" t="s">
        <v>964</v>
      </c>
      <c r="I1778">
        <v>5</v>
      </c>
      <c r="J1778">
        <v>5</v>
      </c>
      <c r="K1778" t="s">
        <v>3088</v>
      </c>
      <c r="L1778" t="s">
        <v>965</v>
      </c>
      <c r="M1778" t="s">
        <v>3373</v>
      </c>
    </row>
    <row r="1779" spans="1:13" x14ac:dyDescent="0.35">
      <c r="A1779">
        <v>103861</v>
      </c>
      <c r="B1779">
        <v>1660</v>
      </c>
      <c r="C1779" t="s">
        <v>602</v>
      </c>
      <c r="D1779" t="s">
        <v>1066</v>
      </c>
      <c r="E1779" t="s">
        <v>3374</v>
      </c>
      <c r="F1779">
        <v>4166529</v>
      </c>
      <c r="G1779">
        <v>21732</v>
      </c>
      <c r="H1779" t="s">
        <v>964</v>
      </c>
      <c r="I1779">
        <v>5</v>
      </c>
      <c r="J1779">
        <v>5</v>
      </c>
      <c r="K1779" t="s">
        <v>1068</v>
      </c>
      <c r="L1779" t="s">
        <v>965</v>
      </c>
      <c r="M1779" t="s">
        <v>3375</v>
      </c>
    </row>
    <row r="1780" spans="1:13" x14ac:dyDescent="0.35">
      <c r="A1780">
        <v>103892</v>
      </c>
      <c r="B1780">
        <v>1670</v>
      </c>
      <c r="C1780" t="s">
        <v>602</v>
      </c>
      <c r="D1780" t="s">
        <v>1066</v>
      </c>
      <c r="E1780" t="s">
        <v>3376</v>
      </c>
      <c r="F1780">
        <v>4166532</v>
      </c>
      <c r="G1780">
        <v>225333</v>
      </c>
      <c r="H1780" t="s">
        <v>964</v>
      </c>
      <c r="I1780">
        <v>4</v>
      </c>
      <c r="J1780">
        <v>4</v>
      </c>
      <c r="K1780" t="s">
        <v>1068</v>
      </c>
      <c r="L1780" t="s">
        <v>965</v>
      </c>
      <c r="M1780" t="s">
        <v>3377</v>
      </c>
    </row>
    <row r="1781" spans="1:13" x14ac:dyDescent="0.35">
      <c r="A1781">
        <v>0</v>
      </c>
      <c r="B1781">
        <v>2691</v>
      </c>
      <c r="C1781" t="s">
        <v>602</v>
      </c>
      <c r="D1781" t="s">
        <v>1301</v>
      </c>
      <c r="E1781" t="s">
        <v>3378</v>
      </c>
      <c r="F1781">
        <v>2</v>
      </c>
      <c r="I1781">
        <v>4</v>
      </c>
      <c r="J1781">
        <v>5</v>
      </c>
      <c r="M1781" t="s">
        <v>3379</v>
      </c>
    </row>
    <row r="1782" spans="1:13" x14ac:dyDescent="0.35">
      <c r="A1782">
        <v>104129</v>
      </c>
      <c r="B1782">
        <v>1239</v>
      </c>
      <c r="C1782" t="s">
        <v>602</v>
      </c>
      <c r="D1782" t="s">
        <v>962</v>
      </c>
      <c r="E1782" t="s">
        <v>3380</v>
      </c>
      <c r="F1782">
        <v>4025</v>
      </c>
      <c r="G1782">
        <v>226410</v>
      </c>
      <c r="H1782" t="s">
        <v>964</v>
      </c>
      <c r="I1782">
        <v>4</v>
      </c>
      <c r="J1782">
        <v>4</v>
      </c>
      <c r="K1782" t="s">
        <v>979</v>
      </c>
      <c r="L1782" t="s">
        <v>965</v>
      </c>
      <c r="M1782" t="s">
        <v>3381</v>
      </c>
    </row>
    <row r="1783" spans="1:13" x14ac:dyDescent="0.35">
      <c r="A1783">
        <v>104273</v>
      </c>
      <c r="B1783">
        <v>1300</v>
      </c>
      <c r="C1783" t="s">
        <v>602</v>
      </c>
      <c r="D1783" t="s">
        <v>3102</v>
      </c>
      <c r="E1783" t="s">
        <v>3382</v>
      </c>
      <c r="H1783" t="s">
        <v>964</v>
      </c>
      <c r="I1783">
        <v>4</v>
      </c>
      <c r="J1783">
        <v>3</v>
      </c>
      <c r="M1783" t="s">
        <v>3383</v>
      </c>
    </row>
    <row r="1784" spans="1:13" x14ac:dyDescent="0.35">
      <c r="A1784">
        <v>103881</v>
      </c>
      <c r="B1784">
        <v>1668</v>
      </c>
      <c r="C1784" t="s">
        <v>602</v>
      </c>
      <c r="D1784" t="s">
        <v>1066</v>
      </c>
      <c r="E1784" t="s">
        <v>3384</v>
      </c>
      <c r="F1784">
        <v>4166521</v>
      </c>
      <c r="G1784">
        <v>225306</v>
      </c>
      <c r="H1784" t="s">
        <v>964</v>
      </c>
      <c r="I1784">
        <v>3</v>
      </c>
      <c r="J1784">
        <v>3</v>
      </c>
      <c r="K1784" t="s">
        <v>1068</v>
      </c>
      <c r="L1784" t="s">
        <v>965</v>
      </c>
      <c r="M1784" t="s">
        <v>3385</v>
      </c>
    </row>
    <row r="1785" spans="1:13" x14ac:dyDescent="0.35">
      <c r="A1785">
        <v>104127</v>
      </c>
      <c r="B1785">
        <v>1238</v>
      </c>
      <c r="C1785" t="s">
        <v>602</v>
      </c>
      <c r="D1785" t="s">
        <v>3102</v>
      </c>
      <c r="E1785" t="s">
        <v>3386</v>
      </c>
      <c r="F1785">
        <v>4444</v>
      </c>
      <c r="G1785">
        <v>226396</v>
      </c>
      <c r="H1785" t="s">
        <v>964</v>
      </c>
      <c r="I1785">
        <v>3</v>
      </c>
      <c r="J1785">
        <v>2</v>
      </c>
      <c r="M1785" t="s">
        <v>3387</v>
      </c>
    </row>
    <row r="1786" spans="1:13" x14ac:dyDescent="0.35">
      <c r="A1786">
        <v>101401</v>
      </c>
      <c r="B1786">
        <v>1021</v>
      </c>
      <c r="C1786" t="s">
        <v>597</v>
      </c>
      <c r="D1786" t="s">
        <v>962</v>
      </c>
      <c r="E1786" t="s">
        <v>3388</v>
      </c>
      <c r="F1786">
        <v>3596</v>
      </c>
      <c r="G1786">
        <v>22010</v>
      </c>
      <c r="I1786">
        <v>3</v>
      </c>
      <c r="J1786">
        <v>3</v>
      </c>
      <c r="M1786" t="s">
        <v>3389</v>
      </c>
    </row>
    <row r="1787" spans="1:13" x14ac:dyDescent="0.35">
      <c r="A1787">
        <v>0</v>
      </c>
      <c r="B1787">
        <v>2690</v>
      </c>
      <c r="C1787" t="s">
        <v>602</v>
      </c>
      <c r="D1787" t="s">
        <v>1301</v>
      </c>
      <c r="E1787" t="s">
        <v>3390</v>
      </c>
      <c r="F1787">
        <v>3</v>
      </c>
      <c r="I1787">
        <v>3</v>
      </c>
      <c r="J1787">
        <v>3</v>
      </c>
      <c r="M1787" t="s">
        <v>3390</v>
      </c>
    </row>
    <row r="1788" spans="1:13" x14ac:dyDescent="0.35">
      <c r="A1788">
        <v>0</v>
      </c>
      <c r="B1788">
        <v>2684</v>
      </c>
      <c r="C1788" t="s">
        <v>602</v>
      </c>
      <c r="D1788" t="s">
        <v>1301</v>
      </c>
      <c r="E1788" t="s">
        <v>3391</v>
      </c>
      <c r="F1788">
        <v>3578</v>
      </c>
      <c r="I1788">
        <v>2</v>
      </c>
      <c r="J1788">
        <v>2</v>
      </c>
      <c r="M1788" t="s">
        <v>3392</v>
      </c>
    </row>
    <row r="1789" spans="1:13" x14ac:dyDescent="0.35">
      <c r="A1789">
        <v>103879</v>
      </c>
      <c r="B1789">
        <v>1666</v>
      </c>
      <c r="C1789" t="s">
        <v>597</v>
      </c>
      <c r="D1789" t="s">
        <v>1066</v>
      </c>
      <c r="E1789" t="s">
        <v>3393</v>
      </c>
      <c r="F1789">
        <v>4166528</v>
      </c>
      <c r="G1789">
        <v>225308</v>
      </c>
      <c r="I1789">
        <v>2</v>
      </c>
      <c r="J1789">
        <v>2</v>
      </c>
      <c r="M1789" t="s">
        <v>3394</v>
      </c>
    </row>
    <row r="1790" spans="1:13" x14ac:dyDescent="0.35">
      <c r="A1790">
        <v>104268</v>
      </c>
      <c r="B1790">
        <v>1283</v>
      </c>
      <c r="C1790" t="s">
        <v>602</v>
      </c>
      <c r="D1790" t="s">
        <v>3351</v>
      </c>
      <c r="E1790" t="s">
        <v>3395</v>
      </c>
      <c r="F1790">
        <v>9997</v>
      </c>
      <c r="G1790">
        <v>227583</v>
      </c>
      <c r="H1790" t="s">
        <v>964</v>
      </c>
      <c r="I1790">
        <v>2</v>
      </c>
      <c r="J1790">
        <v>2</v>
      </c>
      <c r="K1790" t="s">
        <v>3396</v>
      </c>
      <c r="M1790" t="s">
        <v>3397</v>
      </c>
    </row>
    <row r="1791" spans="1:13" x14ac:dyDescent="0.35">
      <c r="A1791">
        <v>0</v>
      </c>
      <c r="B1791">
        <v>3372</v>
      </c>
      <c r="C1791" t="s">
        <v>602</v>
      </c>
      <c r="D1791" t="s">
        <v>962</v>
      </c>
      <c r="E1791" t="s">
        <v>3398</v>
      </c>
      <c r="G1791">
        <v>0</v>
      </c>
      <c r="H1791" t="s">
        <v>964</v>
      </c>
      <c r="I1791">
        <v>1</v>
      </c>
      <c r="J1791">
        <v>1</v>
      </c>
      <c r="M1791" t="s">
        <v>3399</v>
      </c>
    </row>
    <row r="1792" spans="1:13" x14ac:dyDescent="0.35">
      <c r="A1792">
        <v>0</v>
      </c>
      <c r="B1792">
        <v>2689</v>
      </c>
      <c r="C1792" t="s">
        <v>602</v>
      </c>
      <c r="D1792" t="s">
        <v>1301</v>
      </c>
      <c r="E1792" t="s">
        <v>3400</v>
      </c>
      <c r="I1792">
        <v>1</v>
      </c>
      <c r="J1792">
        <v>1</v>
      </c>
      <c r="M1792" t="s">
        <v>3400</v>
      </c>
    </row>
    <row r="1793" spans="1:13" x14ac:dyDescent="0.35">
      <c r="A1793">
        <v>0</v>
      </c>
      <c r="B1793">
        <v>3232</v>
      </c>
      <c r="C1793" t="s">
        <v>602</v>
      </c>
      <c r="D1793" t="s">
        <v>3102</v>
      </c>
      <c r="E1793" t="s">
        <v>3401</v>
      </c>
      <c r="G1793">
        <v>0</v>
      </c>
      <c r="H1793" t="s">
        <v>964</v>
      </c>
      <c r="I1793">
        <v>1</v>
      </c>
      <c r="J1793">
        <v>1</v>
      </c>
      <c r="M1793" t="s">
        <v>3399</v>
      </c>
    </row>
    <row r="1794" spans="1:13" x14ac:dyDescent="0.35">
      <c r="A1794">
        <v>0</v>
      </c>
      <c r="B1794">
        <v>1</v>
      </c>
      <c r="C1794" t="s">
        <v>602</v>
      </c>
      <c r="D1794" t="s">
        <v>3402</v>
      </c>
      <c r="E1794" t="s">
        <v>3403</v>
      </c>
      <c r="G1794">
        <v>0</v>
      </c>
      <c r="I1794">
        <v>0</v>
      </c>
      <c r="J1794">
        <v>0</v>
      </c>
      <c r="K1794" t="s">
        <v>3404</v>
      </c>
    </row>
    <row r="1795" spans="1:13" x14ac:dyDescent="0.35">
      <c r="A1795">
        <v>103692</v>
      </c>
      <c r="B1795">
        <v>787</v>
      </c>
      <c r="C1795" t="s">
        <v>597</v>
      </c>
      <c r="D1795" t="s">
        <v>742</v>
      </c>
      <c r="E1795" t="s">
        <v>3405</v>
      </c>
      <c r="F1795">
        <v>357</v>
      </c>
      <c r="G1795">
        <v>223060</v>
      </c>
    </row>
    <row r="1796" spans="1:13" x14ac:dyDescent="0.35">
      <c r="A1796">
        <v>104154</v>
      </c>
      <c r="B1796">
        <v>819</v>
      </c>
      <c r="C1796" t="s">
        <v>597</v>
      </c>
      <c r="D1796" t="s">
        <v>742</v>
      </c>
      <c r="E1796" t="s">
        <v>3406</v>
      </c>
      <c r="F1796">
        <v>618</v>
      </c>
    </row>
    <row r="1797" spans="1:13" x14ac:dyDescent="0.35">
      <c r="A1797">
        <v>103448</v>
      </c>
      <c r="B1797">
        <v>2528</v>
      </c>
      <c r="C1797" t="s">
        <v>597</v>
      </c>
      <c r="D1797" t="s">
        <v>603</v>
      </c>
      <c r="E1797" t="s">
        <v>3407</v>
      </c>
      <c r="G1797">
        <v>219625</v>
      </c>
    </row>
    <row r="1798" spans="1:13" x14ac:dyDescent="0.35">
      <c r="A1798">
        <v>0</v>
      </c>
      <c r="B1798">
        <v>2663</v>
      </c>
      <c r="C1798" t="s">
        <v>602</v>
      </c>
      <c r="D1798" t="s">
        <v>3408</v>
      </c>
      <c r="E1798" t="s">
        <v>3409</v>
      </c>
    </row>
    <row r="1799" spans="1:13" x14ac:dyDescent="0.35">
      <c r="A1799">
        <v>102707</v>
      </c>
      <c r="B1799">
        <v>2448</v>
      </c>
      <c r="C1799" t="s">
        <v>597</v>
      </c>
      <c r="D1799" t="s">
        <v>603</v>
      </c>
      <c r="E1799" t="s">
        <v>3410</v>
      </c>
      <c r="G1799">
        <v>2951</v>
      </c>
    </row>
    <row r="1800" spans="1:13" x14ac:dyDescent="0.35">
      <c r="A1800">
        <v>103124</v>
      </c>
      <c r="B1800">
        <v>690</v>
      </c>
      <c r="C1800" t="s">
        <v>597</v>
      </c>
      <c r="D1800" t="s">
        <v>742</v>
      </c>
      <c r="E1800" t="s">
        <v>3411</v>
      </c>
      <c r="F1800">
        <v>476</v>
      </c>
      <c r="G1800">
        <v>219704</v>
      </c>
    </row>
    <row r="1801" spans="1:13" x14ac:dyDescent="0.35">
      <c r="A1801">
        <v>104019</v>
      </c>
      <c r="B1801">
        <v>796</v>
      </c>
      <c r="C1801" t="s">
        <v>597</v>
      </c>
      <c r="D1801" t="s">
        <v>742</v>
      </c>
      <c r="E1801" t="s">
        <v>3412</v>
      </c>
      <c r="F1801">
        <v>164</v>
      </c>
    </row>
    <row r="1802" spans="1:13" x14ac:dyDescent="0.35">
      <c r="A1802">
        <v>103593</v>
      </c>
      <c r="B1802">
        <v>672</v>
      </c>
      <c r="C1802" t="s">
        <v>597</v>
      </c>
      <c r="D1802" t="s">
        <v>742</v>
      </c>
      <c r="E1802" t="s">
        <v>3413</v>
      </c>
      <c r="F1802">
        <v>490</v>
      </c>
    </row>
    <row r="1803" spans="1:13" x14ac:dyDescent="0.35">
      <c r="A1803">
        <v>103942</v>
      </c>
      <c r="B1803">
        <v>1806</v>
      </c>
      <c r="C1803" t="s">
        <v>602</v>
      </c>
      <c r="D1803" t="s">
        <v>882</v>
      </c>
      <c r="E1803" t="s">
        <v>3414</v>
      </c>
      <c r="G1803">
        <v>225937</v>
      </c>
    </row>
    <row r="1804" spans="1:13" x14ac:dyDescent="0.35">
      <c r="A1804">
        <v>102669</v>
      </c>
      <c r="B1804">
        <v>2439</v>
      </c>
      <c r="C1804" t="s">
        <v>597</v>
      </c>
      <c r="D1804" t="s">
        <v>603</v>
      </c>
      <c r="E1804" t="s">
        <v>3415</v>
      </c>
    </row>
    <row r="1805" spans="1:13" x14ac:dyDescent="0.35">
      <c r="A1805">
        <v>103313</v>
      </c>
      <c r="B1805">
        <v>2517</v>
      </c>
      <c r="C1805" t="s">
        <v>602</v>
      </c>
      <c r="D1805" t="s">
        <v>603</v>
      </c>
      <c r="E1805" t="s">
        <v>49</v>
      </c>
      <c r="G1805">
        <v>1597</v>
      </c>
    </row>
    <row r="1806" spans="1:13" x14ac:dyDescent="0.35">
      <c r="A1806">
        <v>103812</v>
      </c>
      <c r="B1806">
        <v>1733</v>
      </c>
      <c r="C1806" t="s">
        <v>597</v>
      </c>
      <c r="D1806" t="s">
        <v>2003</v>
      </c>
      <c r="E1806" t="s">
        <v>3416</v>
      </c>
      <c r="F1806">
        <v>2030</v>
      </c>
    </row>
    <row r="1807" spans="1:13" x14ac:dyDescent="0.35">
      <c r="A1807">
        <v>102502</v>
      </c>
      <c r="B1807">
        <v>2419</v>
      </c>
      <c r="C1807" t="s">
        <v>602</v>
      </c>
      <c r="D1807" t="s">
        <v>603</v>
      </c>
      <c r="E1807" t="s">
        <v>294</v>
      </c>
      <c r="G1807">
        <v>20928</v>
      </c>
    </row>
    <row r="1808" spans="1:13" x14ac:dyDescent="0.35">
      <c r="A1808">
        <v>101689</v>
      </c>
      <c r="B1808">
        <v>1314</v>
      </c>
      <c r="C1808" t="s">
        <v>597</v>
      </c>
      <c r="D1808" t="s">
        <v>3417</v>
      </c>
      <c r="E1808" t="s">
        <v>3418</v>
      </c>
      <c r="G1808">
        <v>218101</v>
      </c>
    </row>
    <row r="1809" spans="1:7" x14ac:dyDescent="0.35">
      <c r="A1809">
        <v>102036</v>
      </c>
      <c r="B1809">
        <v>2344</v>
      </c>
      <c r="C1809" t="s">
        <v>602</v>
      </c>
      <c r="D1809" t="s">
        <v>603</v>
      </c>
      <c r="E1809" t="s">
        <v>477</v>
      </c>
      <c r="G1809">
        <v>463</v>
      </c>
    </row>
    <row r="1810" spans="1:7" x14ac:dyDescent="0.35">
      <c r="A1810">
        <v>103507</v>
      </c>
      <c r="B1810">
        <v>720</v>
      </c>
      <c r="C1810" t="s">
        <v>597</v>
      </c>
      <c r="D1810" t="s">
        <v>742</v>
      </c>
      <c r="E1810" t="s">
        <v>3419</v>
      </c>
      <c r="F1810">
        <v>355</v>
      </c>
      <c r="G1810">
        <v>220083</v>
      </c>
    </row>
    <row r="1811" spans="1:7" x14ac:dyDescent="0.35">
      <c r="A1811">
        <v>103503</v>
      </c>
      <c r="B1811">
        <v>909</v>
      </c>
      <c r="C1811" t="s">
        <v>597</v>
      </c>
      <c r="D1811" t="s">
        <v>742</v>
      </c>
      <c r="E1811" t="s">
        <v>3420</v>
      </c>
      <c r="F1811">
        <v>555</v>
      </c>
      <c r="G1811">
        <v>21040</v>
      </c>
    </row>
    <row r="1812" spans="1:7" x14ac:dyDescent="0.35">
      <c r="A1812">
        <v>103758</v>
      </c>
      <c r="B1812">
        <v>768</v>
      </c>
      <c r="C1812" t="s">
        <v>597</v>
      </c>
      <c r="D1812" t="s">
        <v>742</v>
      </c>
      <c r="E1812" t="s">
        <v>3421</v>
      </c>
      <c r="F1812">
        <v>588</v>
      </c>
      <c r="G1812">
        <v>222886</v>
      </c>
    </row>
    <row r="1813" spans="1:7" x14ac:dyDescent="0.35">
      <c r="A1813">
        <v>103633</v>
      </c>
      <c r="B1813">
        <v>896</v>
      </c>
      <c r="C1813" t="s">
        <v>597</v>
      </c>
      <c r="D1813" t="s">
        <v>742</v>
      </c>
      <c r="E1813" t="s">
        <v>3422</v>
      </c>
      <c r="F1813">
        <v>285</v>
      </c>
      <c r="G1813">
        <v>223042</v>
      </c>
    </row>
    <row r="1814" spans="1:7" x14ac:dyDescent="0.35">
      <c r="A1814">
        <v>102390</v>
      </c>
      <c r="B1814">
        <v>2399</v>
      </c>
      <c r="C1814" t="s">
        <v>602</v>
      </c>
      <c r="D1814" t="s">
        <v>603</v>
      </c>
      <c r="E1814" t="s">
        <v>473</v>
      </c>
      <c r="G1814">
        <v>1032</v>
      </c>
    </row>
    <row r="1815" spans="1:7" x14ac:dyDescent="0.35">
      <c r="A1815">
        <v>103048</v>
      </c>
      <c r="B1815">
        <v>2484</v>
      </c>
      <c r="C1815" t="s">
        <v>597</v>
      </c>
      <c r="D1815" t="s">
        <v>603</v>
      </c>
      <c r="E1815" t="s">
        <v>3423</v>
      </c>
      <c r="G1815">
        <v>221979</v>
      </c>
    </row>
    <row r="1816" spans="1:7" x14ac:dyDescent="0.35">
      <c r="A1816">
        <v>103579</v>
      </c>
      <c r="B1816">
        <v>654</v>
      </c>
      <c r="C1816" t="s">
        <v>597</v>
      </c>
      <c r="D1816" t="s">
        <v>742</v>
      </c>
      <c r="E1816" t="s">
        <v>3424</v>
      </c>
      <c r="F1816">
        <v>542</v>
      </c>
      <c r="G1816">
        <v>222981</v>
      </c>
    </row>
    <row r="1817" spans="1:7" x14ac:dyDescent="0.35">
      <c r="A1817">
        <v>102484</v>
      </c>
      <c r="B1817">
        <v>2415</v>
      </c>
      <c r="C1817" t="s">
        <v>597</v>
      </c>
      <c r="D1817" t="s">
        <v>603</v>
      </c>
      <c r="E1817" t="s">
        <v>3425</v>
      </c>
    </row>
    <row r="1818" spans="1:7" x14ac:dyDescent="0.35">
      <c r="A1818">
        <v>104077</v>
      </c>
      <c r="B1818">
        <v>613</v>
      </c>
      <c r="C1818" t="s">
        <v>597</v>
      </c>
      <c r="D1818" t="s">
        <v>742</v>
      </c>
      <c r="E1818" t="s">
        <v>3426</v>
      </c>
      <c r="F1818">
        <v>388</v>
      </c>
    </row>
    <row r="1819" spans="1:7" x14ac:dyDescent="0.35">
      <c r="A1819">
        <v>103588</v>
      </c>
      <c r="B1819">
        <v>2544</v>
      </c>
      <c r="C1819" t="s">
        <v>602</v>
      </c>
      <c r="D1819" t="s">
        <v>603</v>
      </c>
      <c r="E1819" t="s">
        <v>3427</v>
      </c>
      <c r="G1819">
        <v>222990</v>
      </c>
    </row>
    <row r="1820" spans="1:7" x14ac:dyDescent="0.35">
      <c r="A1820">
        <v>102504</v>
      </c>
      <c r="B1820">
        <v>2096</v>
      </c>
      <c r="C1820" t="s">
        <v>597</v>
      </c>
      <c r="D1820" t="s">
        <v>598</v>
      </c>
      <c r="E1820" t="s">
        <v>3428</v>
      </c>
      <c r="G1820">
        <v>713</v>
      </c>
    </row>
    <row r="1821" spans="1:7" x14ac:dyDescent="0.35">
      <c r="A1821">
        <v>101817</v>
      </c>
      <c r="B1821">
        <v>2292</v>
      </c>
      <c r="C1821" t="s">
        <v>597</v>
      </c>
      <c r="D1821" t="s">
        <v>603</v>
      </c>
      <c r="E1821" t="s">
        <v>3429</v>
      </c>
    </row>
    <row r="1822" spans="1:7" x14ac:dyDescent="0.35">
      <c r="A1822">
        <v>102106</v>
      </c>
      <c r="B1822">
        <v>1406</v>
      </c>
      <c r="C1822" t="s">
        <v>597</v>
      </c>
      <c r="D1822" t="s">
        <v>1066</v>
      </c>
      <c r="E1822" t="s">
        <v>3430</v>
      </c>
    </row>
    <row r="1823" spans="1:7" x14ac:dyDescent="0.35">
      <c r="A1823">
        <v>103902</v>
      </c>
      <c r="B1823">
        <v>2587</v>
      </c>
      <c r="C1823" t="s">
        <v>597</v>
      </c>
      <c r="D1823" t="s">
        <v>603</v>
      </c>
      <c r="E1823" t="s">
        <v>3431</v>
      </c>
      <c r="G1823">
        <v>225376</v>
      </c>
    </row>
    <row r="1824" spans="1:7" x14ac:dyDescent="0.35">
      <c r="A1824">
        <v>102146</v>
      </c>
      <c r="B1824">
        <v>2353</v>
      </c>
      <c r="C1824" t="s">
        <v>602</v>
      </c>
      <c r="D1824" t="s">
        <v>603</v>
      </c>
      <c r="E1824" t="s">
        <v>3432</v>
      </c>
      <c r="G1824">
        <v>23058</v>
      </c>
    </row>
    <row r="1825" spans="1:11" x14ac:dyDescent="0.35">
      <c r="A1825">
        <v>101784</v>
      </c>
      <c r="B1825">
        <v>2287</v>
      </c>
      <c r="C1825" t="s">
        <v>597</v>
      </c>
      <c r="D1825" t="s">
        <v>603</v>
      </c>
      <c r="E1825" t="s">
        <v>3433</v>
      </c>
      <c r="G1825">
        <v>443</v>
      </c>
    </row>
    <row r="1826" spans="1:11" x14ac:dyDescent="0.35">
      <c r="A1826">
        <v>103589</v>
      </c>
      <c r="B1826">
        <v>2545</v>
      </c>
      <c r="C1826" t="s">
        <v>597</v>
      </c>
      <c r="D1826" t="s">
        <v>603</v>
      </c>
      <c r="E1826" t="s">
        <v>3434</v>
      </c>
      <c r="G1826">
        <v>222989</v>
      </c>
    </row>
    <row r="1827" spans="1:11" x14ac:dyDescent="0.35">
      <c r="A1827">
        <v>104105</v>
      </c>
      <c r="B1827">
        <v>661</v>
      </c>
      <c r="C1827" t="s">
        <v>597</v>
      </c>
      <c r="D1827" t="s">
        <v>742</v>
      </c>
      <c r="E1827" t="s">
        <v>3435</v>
      </c>
      <c r="F1827">
        <v>501</v>
      </c>
    </row>
    <row r="1828" spans="1:11" x14ac:dyDescent="0.35">
      <c r="A1828">
        <v>103980</v>
      </c>
      <c r="B1828">
        <v>2590</v>
      </c>
      <c r="C1828" t="s">
        <v>597</v>
      </c>
      <c r="D1828" t="s">
        <v>603</v>
      </c>
      <c r="E1828" t="s">
        <v>3436</v>
      </c>
      <c r="G1828">
        <v>225425</v>
      </c>
    </row>
    <row r="1829" spans="1:11" x14ac:dyDescent="0.35">
      <c r="A1829">
        <v>104174</v>
      </c>
      <c r="B1829">
        <v>1250</v>
      </c>
      <c r="C1829" t="s">
        <v>597</v>
      </c>
      <c r="D1829" t="s">
        <v>962</v>
      </c>
      <c r="E1829" t="s">
        <v>3437</v>
      </c>
    </row>
    <row r="1830" spans="1:11" x14ac:dyDescent="0.35">
      <c r="A1830">
        <v>101761</v>
      </c>
      <c r="B1830">
        <v>895</v>
      </c>
      <c r="C1830" t="s">
        <v>597</v>
      </c>
      <c r="D1830" t="s">
        <v>742</v>
      </c>
      <c r="E1830" t="s">
        <v>3438</v>
      </c>
      <c r="F1830">
        <v>222</v>
      </c>
      <c r="G1830">
        <v>1905</v>
      </c>
    </row>
    <row r="1831" spans="1:11" x14ac:dyDescent="0.35">
      <c r="A1831">
        <v>104033</v>
      </c>
      <c r="B1831">
        <v>934</v>
      </c>
      <c r="C1831" t="s">
        <v>597</v>
      </c>
      <c r="D1831" t="s">
        <v>742</v>
      </c>
      <c r="E1831" t="s">
        <v>3439</v>
      </c>
      <c r="F1831">
        <v>396</v>
      </c>
    </row>
    <row r="1832" spans="1:11" x14ac:dyDescent="0.35">
      <c r="A1832">
        <v>103651</v>
      </c>
      <c r="B1832">
        <v>674</v>
      </c>
      <c r="C1832" t="s">
        <v>597</v>
      </c>
      <c r="D1832" t="s">
        <v>742</v>
      </c>
      <c r="E1832" t="s">
        <v>3440</v>
      </c>
      <c r="F1832">
        <v>233</v>
      </c>
    </row>
    <row r="1833" spans="1:11" x14ac:dyDescent="0.35">
      <c r="A1833">
        <v>101636</v>
      </c>
      <c r="B1833">
        <v>2272</v>
      </c>
      <c r="C1833" t="s">
        <v>602</v>
      </c>
      <c r="D1833" t="s">
        <v>603</v>
      </c>
      <c r="E1833" t="s">
        <v>3441</v>
      </c>
      <c r="G1833">
        <v>1596</v>
      </c>
    </row>
    <row r="1834" spans="1:11" x14ac:dyDescent="0.35">
      <c r="A1834">
        <v>102543</v>
      </c>
      <c r="B1834">
        <v>703</v>
      </c>
      <c r="C1834" t="s">
        <v>597</v>
      </c>
      <c r="D1834" t="s">
        <v>742</v>
      </c>
      <c r="E1834" t="s">
        <v>3442</v>
      </c>
      <c r="F1834">
        <v>185</v>
      </c>
    </row>
    <row r="1835" spans="1:11" x14ac:dyDescent="0.35">
      <c r="A1835">
        <v>102010</v>
      </c>
      <c r="B1835">
        <v>1709</v>
      </c>
      <c r="C1835" t="s">
        <v>597</v>
      </c>
      <c r="D1835" t="s">
        <v>3443</v>
      </c>
      <c r="E1835" t="s">
        <v>3444</v>
      </c>
    </row>
    <row r="1836" spans="1:11" x14ac:dyDescent="0.35">
      <c r="A1836">
        <v>104279</v>
      </c>
      <c r="B1836">
        <v>601</v>
      </c>
      <c r="C1836" t="s">
        <v>597</v>
      </c>
      <c r="D1836" t="s">
        <v>742</v>
      </c>
      <c r="E1836" t="s">
        <v>3445</v>
      </c>
      <c r="G1836">
        <v>2613</v>
      </c>
    </row>
    <row r="1837" spans="1:11" x14ac:dyDescent="0.35">
      <c r="A1837">
        <v>104328</v>
      </c>
      <c r="B1837">
        <v>3294</v>
      </c>
      <c r="C1837" t="s">
        <v>602</v>
      </c>
      <c r="D1837" t="s">
        <v>603</v>
      </c>
      <c r="E1837" t="s">
        <v>3446</v>
      </c>
      <c r="G1837">
        <v>229123</v>
      </c>
    </row>
    <row r="1838" spans="1:11" x14ac:dyDescent="0.35">
      <c r="A1838">
        <v>103543</v>
      </c>
      <c r="B1838">
        <v>830</v>
      </c>
      <c r="C1838" t="s">
        <v>597</v>
      </c>
      <c r="D1838" t="s">
        <v>742</v>
      </c>
      <c r="E1838" t="s">
        <v>3447</v>
      </c>
      <c r="F1838">
        <v>522</v>
      </c>
      <c r="G1838">
        <v>222918</v>
      </c>
    </row>
    <row r="1839" spans="1:11" x14ac:dyDescent="0.35">
      <c r="A1839">
        <v>0</v>
      </c>
      <c r="B1839">
        <v>3217</v>
      </c>
      <c r="C1839" t="s">
        <v>602</v>
      </c>
      <c r="D1839" t="s">
        <v>3448</v>
      </c>
      <c r="E1839" t="s">
        <v>3449</v>
      </c>
      <c r="H1839" t="s">
        <v>964</v>
      </c>
      <c r="K1839" t="s">
        <v>3404</v>
      </c>
    </row>
    <row r="1840" spans="1:11" x14ac:dyDescent="0.35">
      <c r="A1840">
        <v>101857</v>
      </c>
      <c r="B1840">
        <v>2304</v>
      </c>
      <c r="C1840" t="s">
        <v>602</v>
      </c>
      <c r="D1840" t="s">
        <v>603</v>
      </c>
      <c r="E1840" t="s">
        <v>197</v>
      </c>
      <c r="F1840">
        <v>245441</v>
      </c>
      <c r="G1840">
        <v>2981</v>
      </c>
    </row>
    <row r="1841" spans="1:7" x14ac:dyDescent="0.35">
      <c r="A1841">
        <v>101897</v>
      </c>
      <c r="B1841">
        <v>2313</v>
      </c>
      <c r="C1841" t="s">
        <v>602</v>
      </c>
      <c r="D1841" t="s">
        <v>603</v>
      </c>
      <c r="E1841" t="s">
        <v>262</v>
      </c>
      <c r="G1841">
        <v>219343</v>
      </c>
    </row>
    <row r="1842" spans="1:7" x14ac:dyDescent="0.35">
      <c r="A1842">
        <v>104321</v>
      </c>
      <c r="B1842">
        <v>2645</v>
      </c>
      <c r="C1842" t="s">
        <v>597</v>
      </c>
      <c r="D1842" t="s">
        <v>603</v>
      </c>
      <c r="E1842" t="s">
        <v>3450</v>
      </c>
      <c r="F1842">
        <v>615315</v>
      </c>
      <c r="G1842">
        <v>228180</v>
      </c>
    </row>
    <row r="1843" spans="1:7" x14ac:dyDescent="0.35">
      <c r="A1843">
        <v>101261</v>
      </c>
      <c r="B1843">
        <v>2258</v>
      </c>
      <c r="C1843" t="s">
        <v>597</v>
      </c>
      <c r="D1843" t="s">
        <v>603</v>
      </c>
      <c r="E1843" t="s">
        <v>3451</v>
      </c>
      <c r="F1843">
        <v>7017</v>
      </c>
      <c r="G1843">
        <v>818</v>
      </c>
    </row>
    <row r="1844" spans="1:7" x14ac:dyDescent="0.35">
      <c r="A1844">
        <v>102300</v>
      </c>
      <c r="B1844">
        <v>2387</v>
      </c>
      <c r="C1844" t="s">
        <v>597</v>
      </c>
      <c r="D1844" t="s">
        <v>603</v>
      </c>
      <c r="E1844" t="s">
        <v>3452</v>
      </c>
      <c r="G1844">
        <v>1231</v>
      </c>
    </row>
    <row r="1845" spans="1:7" x14ac:dyDescent="0.35">
      <c r="A1845">
        <v>102629</v>
      </c>
      <c r="B1845">
        <v>2435</v>
      </c>
      <c r="C1845" t="s">
        <v>602</v>
      </c>
      <c r="D1845" t="s">
        <v>603</v>
      </c>
      <c r="E1845" t="s">
        <v>363</v>
      </c>
      <c r="G1845">
        <v>23119</v>
      </c>
    </row>
    <row r="1846" spans="1:7" x14ac:dyDescent="0.35">
      <c r="A1846">
        <v>101845</v>
      </c>
      <c r="B1846">
        <v>2298</v>
      </c>
      <c r="C1846" t="s">
        <v>597</v>
      </c>
      <c r="D1846" t="s">
        <v>603</v>
      </c>
      <c r="E1846" t="s">
        <v>3453</v>
      </c>
      <c r="G1846">
        <v>225953</v>
      </c>
    </row>
    <row r="1847" spans="1:7" x14ac:dyDescent="0.35">
      <c r="A1847">
        <v>104073</v>
      </c>
      <c r="B1847">
        <v>694</v>
      </c>
      <c r="C1847" t="s">
        <v>597</v>
      </c>
      <c r="D1847" t="s">
        <v>742</v>
      </c>
      <c r="E1847" t="s">
        <v>3454</v>
      </c>
      <c r="F1847">
        <v>596</v>
      </c>
      <c r="G1847">
        <v>662</v>
      </c>
    </row>
    <row r="1848" spans="1:7" x14ac:dyDescent="0.35">
      <c r="A1848">
        <v>102170</v>
      </c>
      <c r="B1848">
        <v>2358</v>
      </c>
      <c r="C1848" t="s">
        <v>597</v>
      </c>
      <c r="D1848" t="s">
        <v>603</v>
      </c>
      <c r="E1848" t="s">
        <v>3455</v>
      </c>
    </row>
    <row r="1849" spans="1:7" x14ac:dyDescent="0.35">
      <c r="A1849">
        <v>103781</v>
      </c>
      <c r="B1849">
        <v>2571</v>
      </c>
      <c r="C1849" t="s">
        <v>602</v>
      </c>
      <c r="D1849" t="s">
        <v>603</v>
      </c>
      <c r="E1849" t="s">
        <v>3456</v>
      </c>
      <c r="G1849">
        <v>1980</v>
      </c>
    </row>
    <row r="1850" spans="1:7" x14ac:dyDescent="0.35">
      <c r="A1850">
        <v>102452</v>
      </c>
      <c r="B1850">
        <v>2408</v>
      </c>
      <c r="C1850" t="s">
        <v>602</v>
      </c>
      <c r="D1850" t="s">
        <v>603</v>
      </c>
      <c r="E1850" t="s">
        <v>290</v>
      </c>
      <c r="F1850">
        <v>270001</v>
      </c>
      <c r="G1850">
        <v>283</v>
      </c>
    </row>
    <row r="1851" spans="1:7" x14ac:dyDescent="0.35">
      <c r="A1851">
        <v>103747</v>
      </c>
      <c r="B1851">
        <v>775</v>
      </c>
      <c r="C1851" t="s">
        <v>597</v>
      </c>
      <c r="D1851" t="s">
        <v>742</v>
      </c>
      <c r="E1851" t="s">
        <v>3457</v>
      </c>
      <c r="F1851">
        <v>203</v>
      </c>
      <c r="G1851">
        <v>223282</v>
      </c>
    </row>
    <row r="1852" spans="1:7" x14ac:dyDescent="0.35">
      <c r="A1852">
        <v>103590</v>
      </c>
      <c r="B1852">
        <v>2546</v>
      </c>
      <c r="C1852" t="s">
        <v>597</v>
      </c>
      <c r="D1852" t="s">
        <v>603</v>
      </c>
      <c r="E1852" t="s">
        <v>3458</v>
      </c>
      <c r="G1852">
        <v>222988</v>
      </c>
    </row>
    <row r="1853" spans="1:7" x14ac:dyDescent="0.35">
      <c r="A1853">
        <v>103895</v>
      </c>
      <c r="B1853">
        <v>2583</v>
      </c>
      <c r="C1853" t="s">
        <v>602</v>
      </c>
      <c r="D1853" t="s">
        <v>603</v>
      </c>
      <c r="E1853" t="s">
        <v>310</v>
      </c>
      <c r="G1853">
        <v>220404</v>
      </c>
    </row>
    <row r="1854" spans="1:7" x14ac:dyDescent="0.35">
      <c r="A1854">
        <v>103809</v>
      </c>
      <c r="B1854">
        <v>1732</v>
      </c>
      <c r="C1854" t="s">
        <v>597</v>
      </c>
      <c r="D1854" t="s">
        <v>2003</v>
      </c>
      <c r="E1854" t="s">
        <v>3459</v>
      </c>
      <c r="F1854">
        <v>2043</v>
      </c>
    </row>
    <row r="1855" spans="1:7" x14ac:dyDescent="0.35">
      <c r="A1855">
        <v>0</v>
      </c>
      <c r="B1855">
        <v>3158</v>
      </c>
      <c r="C1855" t="s">
        <v>602</v>
      </c>
      <c r="D1855" t="s">
        <v>3408</v>
      </c>
      <c r="E1855" t="s">
        <v>3460</v>
      </c>
    </row>
    <row r="1856" spans="1:7" x14ac:dyDescent="0.35">
      <c r="A1856">
        <v>103449</v>
      </c>
      <c r="B1856">
        <v>669</v>
      </c>
      <c r="C1856" t="s">
        <v>597</v>
      </c>
      <c r="D1856" t="s">
        <v>742</v>
      </c>
      <c r="E1856" t="s">
        <v>3461</v>
      </c>
      <c r="F1856">
        <v>551</v>
      </c>
      <c r="G1856">
        <v>222680</v>
      </c>
    </row>
    <row r="1857" spans="1:7" x14ac:dyDescent="0.35">
      <c r="A1857">
        <v>102220</v>
      </c>
      <c r="B1857">
        <v>2369</v>
      </c>
      <c r="C1857" t="s">
        <v>602</v>
      </c>
      <c r="D1857" t="s">
        <v>603</v>
      </c>
      <c r="E1857" t="s">
        <v>3462</v>
      </c>
      <c r="G1857">
        <v>221822</v>
      </c>
    </row>
    <row r="1858" spans="1:7" x14ac:dyDescent="0.35">
      <c r="A1858">
        <v>101737</v>
      </c>
      <c r="B1858">
        <v>2282</v>
      </c>
      <c r="C1858" t="s">
        <v>602</v>
      </c>
      <c r="D1858" t="s">
        <v>603</v>
      </c>
      <c r="E1858" t="s">
        <v>318</v>
      </c>
      <c r="G1858">
        <v>774</v>
      </c>
    </row>
    <row r="1859" spans="1:7" x14ac:dyDescent="0.35">
      <c r="A1859">
        <v>101946</v>
      </c>
      <c r="B1859">
        <v>2330</v>
      </c>
      <c r="C1859" t="s">
        <v>602</v>
      </c>
      <c r="D1859" t="s">
        <v>603</v>
      </c>
      <c r="E1859" t="s">
        <v>3463</v>
      </c>
      <c r="G1859">
        <v>633</v>
      </c>
    </row>
    <row r="1860" spans="1:7" x14ac:dyDescent="0.35">
      <c r="A1860">
        <v>103574</v>
      </c>
      <c r="B1860">
        <v>770</v>
      </c>
      <c r="C1860" t="s">
        <v>597</v>
      </c>
      <c r="D1860" t="s">
        <v>742</v>
      </c>
      <c r="E1860" t="s">
        <v>3464</v>
      </c>
      <c r="F1860">
        <v>443</v>
      </c>
      <c r="G1860">
        <v>222896</v>
      </c>
    </row>
    <row r="1861" spans="1:7" x14ac:dyDescent="0.35">
      <c r="A1861">
        <v>103650</v>
      </c>
      <c r="B1861">
        <v>2524</v>
      </c>
      <c r="C1861" t="s">
        <v>597</v>
      </c>
      <c r="D1861" t="s">
        <v>603</v>
      </c>
      <c r="E1861" t="s">
        <v>3465</v>
      </c>
    </row>
    <row r="1862" spans="1:7" x14ac:dyDescent="0.35">
      <c r="A1862">
        <v>777777</v>
      </c>
      <c r="B1862">
        <v>2768</v>
      </c>
      <c r="C1862" t="s">
        <v>597</v>
      </c>
      <c r="D1862" t="s">
        <v>962</v>
      </c>
      <c r="E1862" t="s">
        <v>3466</v>
      </c>
      <c r="F1862">
        <v>1111111</v>
      </c>
      <c r="G1862">
        <v>1111111</v>
      </c>
    </row>
    <row r="1863" spans="1:7" x14ac:dyDescent="0.35">
      <c r="A1863">
        <v>103967</v>
      </c>
      <c r="B1863">
        <v>1830</v>
      </c>
      <c r="C1863" t="s">
        <v>602</v>
      </c>
      <c r="D1863" t="s">
        <v>882</v>
      </c>
      <c r="E1863" t="s">
        <v>3467</v>
      </c>
      <c r="G1863">
        <v>226045</v>
      </c>
    </row>
    <row r="1864" spans="1:7" x14ac:dyDescent="0.35">
      <c r="A1864">
        <v>102436</v>
      </c>
      <c r="B1864">
        <v>2404</v>
      </c>
      <c r="C1864" t="s">
        <v>597</v>
      </c>
      <c r="D1864" t="s">
        <v>603</v>
      </c>
      <c r="E1864" t="s">
        <v>3468</v>
      </c>
    </row>
    <row r="1865" spans="1:7" x14ac:dyDescent="0.35">
      <c r="A1865">
        <v>0</v>
      </c>
      <c r="B1865">
        <v>3465</v>
      </c>
      <c r="C1865" t="s">
        <v>1242</v>
      </c>
      <c r="D1865" t="s">
        <v>3102</v>
      </c>
      <c r="E1865" t="s">
        <v>3469</v>
      </c>
      <c r="G1865">
        <v>0</v>
      </c>
    </row>
    <row r="1866" spans="1:7" x14ac:dyDescent="0.35">
      <c r="A1866">
        <v>104096</v>
      </c>
      <c r="B1866">
        <v>2610</v>
      </c>
      <c r="C1866" t="s">
        <v>602</v>
      </c>
      <c r="D1866" t="s">
        <v>603</v>
      </c>
      <c r="E1866" t="s">
        <v>157</v>
      </c>
      <c r="F1866">
        <v>2027</v>
      </c>
      <c r="G1866">
        <v>2766</v>
      </c>
    </row>
    <row r="1867" spans="1:7" x14ac:dyDescent="0.35">
      <c r="A1867">
        <v>0</v>
      </c>
      <c r="B1867">
        <v>2671</v>
      </c>
      <c r="C1867" t="s">
        <v>602</v>
      </c>
      <c r="D1867" t="s">
        <v>3408</v>
      </c>
      <c r="E1867" t="s">
        <v>3470</v>
      </c>
    </row>
    <row r="1868" spans="1:7" x14ac:dyDescent="0.35">
      <c r="A1868">
        <v>103281</v>
      </c>
      <c r="B1868">
        <v>2514</v>
      </c>
      <c r="C1868" t="s">
        <v>602</v>
      </c>
      <c r="D1868" t="s">
        <v>603</v>
      </c>
      <c r="E1868" t="s">
        <v>3471</v>
      </c>
      <c r="G1868">
        <v>22055</v>
      </c>
    </row>
    <row r="1869" spans="1:7" x14ac:dyDescent="0.35">
      <c r="A1869">
        <v>103911</v>
      </c>
      <c r="B1869">
        <v>1778</v>
      </c>
      <c r="C1869" t="s">
        <v>602</v>
      </c>
      <c r="D1869" t="s">
        <v>882</v>
      </c>
      <c r="E1869" t="s">
        <v>3472</v>
      </c>
      <c r="G1869">
        <v>225362</v>
      </c>
    </row>
    <row r="1870" spans="1:7" x14ac:dyDescent="0.35">
      <c r="A1870">
        <v>104112</v>
      </c>
      <c r="B1870">
        <v>671</v>
      </c>
      <c r="C1870" t="s">
        <v>597</v>
      </c>
      <c r="D1870" t="s">
        <v>742</v>
      </c>
      <c r="E1870" t="s">
        <v>3473</v>
      </c>
      <c r="F1870">
        <v>277</v>
      </c>
    </row>
    <row r="1871" spans="1:7" x14ac:dyDescent="0.35">
      <c r="A1871">
        <v>101863</v>
      </c>
      <c r="B1871">
        <v>2307</v>
      </c>
      <c r="C1871" t="s">
        <v>597</v>
      </c>
      <c r="D1871" t="s">
        <v>603</v>
      </c>
      <c r="E1871" t="s">
        <v>3474</v>
      </c>
      <c r="G1871">
        <v>1713</v>
      </c>
    </row>
    <row r="1872" spans="1:7" x14ac:dyDescent="0.35">
      <c r="A1872">
        <v>102453</v>
      </c>
      <c r="B1872">
        <v>2409</v>
      </c>
      <c r="C1872" t="s">
        <v>597</v>
      </c>
      <c r="D1872" t="s">
        <v>603</v>
      </c>
      <c r="E1872" t="s">
        <v>3475</v>
      </c>
    </row>
    <row r="1873" spans="1:7" x14ac:dyDescent="0.35">
      <c r="A1873">
        <v>101723</v>
      </c>
      <c r="B1873">
        <v>852</v>
      </c>
      <c r="C1873" t="s">
        <v>597</v>
      </c>
      <c r="D1873" t="s">
        <v>742</v>
      </c>
      <c r="E1873" t="s">
        <v>3476</v>
      </c>
      <c r="F1873">
        <v>208</v>
      </c>
      <c r="G1873">
        <v>221505</v>
      </c>
    </row>
    <row r="1874" spans="1:7" x14ac:dyDescent="0.35">
      <c r="A1874">
        <v>104280</v>
      </c>
      <c r="B1874">
        <v>595</v>
      </c>
      <c r="C1874" t="s">
        <v>597</v>
      </c>
      <c r="D1874" t="s">
        <v>742</v>
      </c>
      <c r="E1874" t="s">
        <v>3477</v>
      </c>
      <c r="F1874">
        <v>4412</v>
      </c>
      <c r="G1874">
        <v>227654</v>
      </c>
    </row>
    <row r="1875" spans="1:7" x14ac:dyDescent="0.35">
      <c r="A1875">
        <v>103619</v>
      </c>
      <c r="B1875">
        <v>744</v>
      </c>
      <c r="C1875" t="s">
        <v>597</v>
      </c>
      <c r="D1875" t="s">
        <v>742</v>
      </c>
      <c r="E1875" t="s">
        <v>3478</v>
      </c>
      <c r="F1875">
        <v>534</v>
      </c>
      <c r="G1875">
        <v>223027</v>
      </c>
    </row>
    <row r="1876" spans="1:7" x14ac:dyDescent="0.35">
      <c r="A1876">
        <v>103787</v>
      </c>
      <c r="B1876">
        <v>2576</v>
      </c>
      <c r="C1876" t="s">
        <v>602</v>
      </c>
      <c r="D1876" t="s">
        <v>603</v>
      </c>
      <c r="E1876" t="s">
        <v>449</v>
      </c>
      <c r="G1876">
        <v>1973</v>
      </c>
    </row>
    <row r="1877" spans="1:7" x14ac:dyDescent="0.35">
      <c r="A1877">
        <v>104208</v>
      </c>
      <c r="B1877">
        <v>1836</v>
      </c>
      <c r="C1877" t="s">
        <v>602</v>
      </c>
      <c r="D1877" t="s">
        <v>882</v>
      </c>
      <c r="E1877" t="s">
        <v>3479</v>
      </c>
      <c r="G1877">
        <v>227148</v>
      </c>
    </row>
    <row r="1878" spans="1:7" x14ac:dyDescent="0.35">
      <c r="A1878">
        <v>104387</v>
      </c>
      <c r="B1878">
        <v>3375</v>
      </c>
      <c r="C1878" t="s">
        <v>597</v>
      </c>
      <c r="D1878" t="s">
        <v>603</v>
      </c>
      <c r="E1878" t="s">
        <v>3480</v>
      </c>
      <c r="F1878">
        <v>615320</v>
      </c>
      <c r="G1878">
        <v>229225</v>
      </c>
    </row>
    <row r="1879" spans="1:7" x14ac:dyDescent="0.35">
      <c r="A1879">
        <v>103957</v>
      </c>
      <c r="B1879">
        <v>1820</v>
      </c>
      <c r="C1879" t="s">
        <v>597</v>
      </c>
      <c r="D1879" t="s">
        <v>882</v>
      </c>
      <c r="E1879" t="s">
        <v>3481</v>
      </c>
      <c r="G1879">
        <v>225470</v>
      </c>
    </row>
    <row r="1880" spans="1:7" x14ac:dyDescent="0.35">
      <c r="A1880">
        <v>104056</v>
      </c>
      <c r="B1880">
        <v>870</v>
      </c>
      <c r="C1880" t="s">
        <v>597</v>
      </c>
      <c r="D1880" t="s">
        <v>742</v>
      </c>
      <c r="E1880" t="s">
        <v>3482</v>
      </c>
      <c r="F1880">
        <v>168</v>
      </c>
    </row>
    <row r="1881" spans="1:7" x14ac:dyDescent="0.35">
      <c r="A1881">
        <v>103824</v>
      </c>
      <c r="B1881">
        <v>1744</v>
      </c>
      <c r="C1881" t="s">
        <v>597</v>
      </c>
      <c r="D1881" t="s">
        <v>2003</v>
      </c>
      <c r="E1881" t="s">
        <v>3483</v>
      </c>
      <c r="F1881">
        <v>2048</v>
      </c>
    </row>
    <row r="1882" spans="1:7" x14ac:dyDescent="0.35">
      <c r="A1882">
        <v>104115</v>
      </c>
      <c r="B1882">
        <v>820</v>
      </c>
      <c r="C1882" t="s">
        <v>597</v>
      </c>
      <c r="D1882" t="s">
        <v>742</v>
      </c>
      <c r="E1882" t="s">
        <v>3484</v>
      </c>
      <c r="F1882">
        <v>614</v>
      </c>
      <c r="G1882">
        <v>1637</v>
      </c>
    </row>
    <row r="1883" spans="1:7" x14ac:dyDescent="0.35">
      <c r="A1883">
        <v>103936</v>
      </c>
      <c r="B1883">
        <v>1800</v>
      </c>
      <c r="C1883" t="s">
        <v>597</v>
      </c>
      <c r="D1883" t="s">
        <v>882</v>
      </c>
      <c r="E1883" t="s">
        <v>3485</v>
      </c>
    </row>
    <row r="1884" spans="1:7" x14ac:dyDescent="0.35">
      <c r="A1884">
        <v>102283</v>
      </c>
      <c r="B1884">
        <v>2380</v>
      </c>
      <c r="C1884" t="s">
        <v>602</v>
      </c>
      <c r="D1884" t="s">
        <v>603</v>
      </c>
      <c r="E1884" t="s">
        <v>141</v>
      </c>
      <c r="G1884">
        <v>219883</v>
      </c>
    </row>
    <row r="1885" spans="1:7" x14ac:dyDescent="0.35">
      <c r="A1885">
        <v>102181</v>
      </c>
      <c r="B1885">
        <v>2361</v>
      </c>
      <c r="C1885" t="s">
        <v>602</v>
      </c>
      <c r="D1885" t="s">
        <v>603</v>
      </c>
      <c r="E1885" t="s">
        <v>497</v>
      </c>
      <c r="G1885">
        <v>3279</v>
      </c>
    </row>
    <row r="1886" spans="1:7" x14ac:dyDescent="0.35">
      <c r="A1886">
        <v>104120</v>
      </c>
      <c r="B1886">
        <v>889</v>
      </c>
      <c r="C1886" t="s">
        <v>597</v>
      </c>
      <c r="D1886" t="s">
        <v>742</v>
      </c>
      <c r="E1886" t="s">
        <v>3486</v>
      </c>
      <c r="F1886">
        <v>428</v>
      </c>
    </row>
    <row r="1887" spans="1:7" x14ac:dyDescent="0.35">
      <c r="A1887">
        <v>101695</v>
      </c>
      <c r="B1887">
        <v>1319</v>
      </c>
      <c r="C1887" t="s">
        <v>597</v>
      </c>
      <c r="D1887" t="s">
        <v>3417</v>
      </c>
      <c r="E1887" t="s">
        <v>3487</v>
      </c>
      <c r="G1887">
        <v>1381</v>
      </c>
    </row>
    <row r="1888" spans="1:7" x14ac:dyDescent="0.35">
      <c r="A1888">
        <v>103320</v>
      </c>
      <c r="B1888">
        <v>2518</v>
      </c>
      <c r="C1888" t="s">
        <v>597</v>
      </c>
      <c r="D1888" t="s">
        <v>603</v>
      </c>
      <c r="E1888" t="s">
        <v>3488</v>
      </c>
      <c r="G1888">
        <v>222469</v>
      </c>
    </row>
    <row r="1889" spans="1:7" x14ac:dyDescent="0.35">
      <c r="A1889">
        <v>103668</v>
      </c>
      <c r="B1889">
        <v>713</v>
      </c>
      <c r="C1889" t="s">
        <v>597</v>
      </c>
      <c r="D1889" t="s">
        <v>742</v>
      </c>
      <c r="E1889" t="s">
        <v>3489</v>
      </c>
      <c r="F1889">
        <v>310</v>
      </c>
    </row>
    <row r="1890" spans="1:7" x14ac:dyDescent="0.35">
      <c r="A1890">
        <v>104034</v>
      </c>
      <c r="B1890">
        <v>650</v>
      </c>
      <c r="C1890" t="s">
        <v>597</v>
      </c>
      <c r="D1890" t="s">
        <v>742</v>
      </c>
      <c r="E1890" t="s">
        <v>3490</v>
      </c>
      <c r="F1890">
        <v>299</v>
      </c>
    </row>
    <row r="1891" spans="1:7" x14ac:dyDescent="0.35">
      <c r="A1891">
        <v>101929</v>
      </c>
      <c r="B1891">
        <v>2324</v>
      </c>
      <c r="C1891" t="s">
        <v>602</v>
      </c>
      <c r="D1891" t="s">
        <v>603</v>
      </c>
      <c r="E1891" t="s">
        <v>133</v>
      </c>
      <c r="G1891">
        <v>22743</v>
      </c>
    </row>
    <row r="1892" spans="1:7" x14ac:dyDescent="0.35">
      <c r="A1892">
        <v>102375</v>
      </c>
      <c r="B1892">
        <v>2396</v>
      </c>
      <c r="C1892" t="s">
        <v>597</v>
      </c>
      <c r="D1892" t="s">
        <v>603</v>
      </c>
      <c r="E1892" t="s">
        <v>3491</v>
      </c>
      <c r="F1892">
        <v>615308</v>
      </c>
      <c r="G1892">
        <v>217858</v>
      </c>
    </row>
    <row r="1893" spans="1:7" x14ac:dyDescent="0.35">
      <c r="A1893">
        <v>103910</v>
      </c>
      <c r="B1893">
        <v>1777</v>
      </c>
      <c r="C1893" t="s">
        <v>597</v>
      </c>
      <c r="D1893" t="s">
        <v>882</v>
      </c>
      <c r="E1893" t="s">
        <v>3492</v>
      </c>
      <c r="G1893">
        <v>225361</v>
      </c>
    </row>
    <row r="1894" spans="1:7" x14ac:dyDescent="0.35">
      <c r="A1894">
        <v>101963</v>
      </c>
      <c r="B1894">
        <v>2333</v>
      </c>
      <c r="C1894" t="s">
        <v>602</v>
      </c>
      <c r="D1894" t="s">
        <v>603</v>
      </c>
      <c r="E1894" t="s">
        <v>129</v>
      </c>
      <c r="G1894">
        <v>2027</v>
      </c>
    </row>
    <row r="1895" spans="1:7" x14ac:dyDescent="0.35">
      <c r="A1895">
        <v>101711</v>
      </c>
      <c r="B1895">
        <v>871</v>
      </c>
      <c r="C1895" t="s">
        <v>597</v>
      </c>
      <c r="D1895" t="s">
        <v>742</v>
      </c>
      <c r="E1895" t="s">
        <v>3493</v>
      </c>
      <c r="F1895">
        <v>625</v>
      </c>
      <c r="G1895">
        <v>227028</v>
      </c>
    </row>
    <row r="1896" spans="1:7" x14ac:dyDescent="0.35">
      <c r="A1896">
        <v>103930</v>
      </c>
      <c r="B1896">
        <v>1794</v>
      </c>
      <c r="C1896" t="s">
        <v>597</v>
      </c>
      <c r="D1896" t="s">
        <v>882</v>
      </c>
      <c r="E1896" t="s">
        <v>3494</v>
      </c>
      <c r="G1896">
        <v>225437</v>
      </c>
    </row>
    <row r="1897" spans="1:7" x14ac:dyDescent="0.35">
      <c r="A1897">
        <v>103613</v>
      </c>
      <c r="B1897">
        <v>726</v>
      </c>
      <c r="C1897" t="s">
        <v>597</v>
      </c>
      <c r="D1897" t="s">
        <v>742</v>
      </c>
      <c r="E1897" t="s">
        <v>3495</v>
      </c>
      <c r="F1897">
        <v>547</v>
      </c>
      <c r="G1897">
        <v>222959</v>
      </c>
    </row>
    <row r="1898" spans="1:7" x14ac:dyDescent="0.35">
      <c r="A1898">
        <v>103636</v>
      </c>
      <c r="B1898">
        <v>951</v>
      </c>
      <c r="C1898" t="s">
        <v>597</v>
      </c>
      <c r="D1898" t="s">
        <v>742</v>
      </c>
      <c r="E1898" t="s">
        <v>3496</v>
      </c>
      <c r="F1898">
        <v>174</v>
      </c>
      <c r="G1898">
        <v>223074</v>
      </c>
    </row>
    <row r="1899" spans="1:7" x14ac:dyDescent="0.35">
      <c r="A1899">
        <v>102672</v>
      </c>
      <c r="B1899">
        <v>2440</v>
      </c>
      <c r="C1899" t="s">
        <v>597</v>
      </c>
      <c r="D1899" t="s">
        <v>603</v>
      </c>
      <c r="E1899" t="s">
        <v>3497</v>
      </c>
    </row>
    <row r="1900" spans="1:7" x14ac:dyDescent="0.35">
      <c r="A1900">
        <v>101909</v>
      </c>
      <c r="B1900">
        <v>2317</v>
      </c>
      <c r="C1900" t="s">
        <v>597</v>
      </c>
      <c r="D1900" t="s">
        <v>603</v>
      </c>
      <c r="E1900" t="s">
        <v>3498</v>
      </c>
      <c r="F1900">
        <v>615305</v>
      </c>
      <c r="G1900">
        <v>220239</v>
      </c>
    </row>
    <row r="1901" spans="1:7" x14ac:dyDescent="0.35">
      <c r="A1901">
        <v>102500</v>
      </c>
      <c r="B1901">
        <v>735</v>
      </c>
      <c r="C1901" t="s">
        <v>597</v>
      </c>
      <c r="D1901" t="s">
        <v>742</v>
      </c>
      <c r="E1901" t="s">
        <v>3499</v>
      </c>
      <c r="F1901">
        <v>156</v>
      </c>
      <c r="G1901">
        <v>1413</v>
      </c>
    </row>
    <row r="1902" spans="1:7" x14ac:dyDescent="0.35">
      <c r="A1902">
        <v>103710</v>
      </c>
      <c r="B1902">
        <v>2558</v>
      </c>
      <c r="C1902" t="s">
        <v>602</v>
      </c>
      <c r="D1902" t="s">
        <v>603</v>
      </c>
      <c r="E1902" t="s">
        <v>3500</v>
      </c>
      <c r="G1902">
        <v>220918</v>
      </c>
    </row>
    <row r="1903" spans="1:7" x14ac:dyDescent="0.35">
      <c r="A1903">
        <v>103912</v>
      </c>
      <c r="B1903">
        <v>1779</v>
      </c>
      <c r="C1903" t="s">
        <v>597</v>
      </c>
      <c r="D1903" t="s">
        <v>882</v>
      </c>
      <c r="E1903" t="s">
        <v>3501</v>
      </c>
      <c r="G1903">
        <v>225363</v>
      </c>
    </row>
    <row r="1904" spans="1:7" x14ac:dyDescent="0.35">
      <c r="A1904">
        <v>103642</v>
      </c>
      <c r="B1904">
        <v>751</v>
      </c>
      <c r="C1904" t="s">
        <v>597</v>
      </c>
      <c r="D1904" t="s">
        <v>742</v>
      </c>
      <c r="E1904" t="s">
        <v>3502</v>
      </c>
      <c r="F1904">
        <v>417</v>
      </c>
      <c r="G1904">
        <v>222564</v>
      </c>
    </row>
    <row r="1905" spans="1:7" x14ac:dyDescent="0.35">
      <c r="A1905">
        <v>103483</v>
      </c>
      <c r="B1905">
        <v>708</v>
      </c>
      <c r="C1905" t="s">
        <v>597</v>
      </c>
      <c r="D1905" t="s">
        <v>742</v>
      </c>
      <c r="E1905" t="s">
        <v>3503</v>
      </c>
      <c r="F1905">
        <v>554</v>
      </c>
      <c r="G1905">
        <v>222812</v>
      </c>
    </row>
    <row r="1906" spans="1:7" x14ac:dyDescent="0.35">
      <c r="A1906">
        <v>101685</v>
      </c>
      <c r="B1906">
        <v>1310</v>
      </c>
      <c r="C1906" t="s">
        <v>597</v>
      </c>
      <c r="D1906" t="s">
        <v>3417</v>
      </c>
      <c r="E1906" t="s">
        <v>3504</v>
      </c>
      <c r="G1906">
        <v>218111</v>
      </c>
    </row>
    <row r="1907" spans="1:7" x14ac:dyDescent="0.35">
      <c r="A1907">
        <v>0</v>
      </c>
      <c r="B1907">
        <v>2767</v>
      </c>
      <c r="C1907" t="s">
        <v>602</v>
      </c>
      <c r="D1907" t="s">
        <v>3402</v>
      </c>
      <c r="E1907" t="s">
        <v>3505</v>
      </c>
    </row>
    <row r="1908" spans="1:7" x14ac:dyDescent="0.35">
      <c r="A1908">
        <v>104180</v>
      </c>
      <c r="B1908">
        <v>737</v>
      </c>
      <c r="C1908" t="s">
        <v>597</v>
      </c>
      <c r="D1908" t="s">
        <v>742</v>
      </c>
      <c r="E1908" t="s">
        <v>3506</v>
      </c>
      <c r="F1908">
        <v>620</v>
      </c>
    </row>
    <row r="1909" spans="1:7" x14ac:dyDescent="0.35">
      <c r="A1909">
        <v>101317</v>
      </c>
      <c r="B1909">
        <v>2260</v>
      </c>
      <c r="C1909" t="s">
        <v>597</v>
      </c>
      <c r="D1909" t="s">
        <v>603</v>
      </c>
      <c r="E1909" t="s">
        <v>3507</v>
      </c>
      <c r="G1909">
        <v>765</v>
      </c>
    </row>
    <row r="1910" spans="1:7" x14ac:dyDescent="0.35">
      <c r="A1910">
        <v>103972</v>
      </c>
      <c r="B1910">
        <v>944</v>
      </c>
      <c r="C1910" t="s">
        <v>597</v>
      </c>
      <c r="D1910" t="s">
        <v>742</v>
      </c>
      <c r="E1910" t="s">
        <v>3508</v>
      </c>
      <c r="F1910">
        <v>327</v>
      </c>
      <c r="G1910">
        <v>225443</v>
      </c>
    </row>
    <row r="1911" spans="1:7" x14ac:dyDescent="0.35">
      <c r="A1911">
        <v>103705</v>
      </c>
      <c r="B1911">
        <v>834</v>
      </c>
      <c r="C1911" t="s">
        <v>597</v>
      </c>
      <c r="D1911" t="s">
        <v>742</v>
      </c>
      <c r="E1911" t="s">
        <v>3509</v>
      </c>
      <c r="F1911">
        <v>230</v>
      </c>
      <c r="G1911">
        <v>223163</v>
      </c>
    </row>
    <row r="1912" spans="1:7" x14ac:dyDescent="0.35">
      <c r="A1912">
        <v>103586</v>
      </c>
      <c r="B1912">
        <v>2542</v>
      </c>
      <c r="C1912" t="s">
        <v>597</v>
      </c>
      <c r="D1912" t="s">
        <v>603</v>
      </c>
      <c r="E1912" t="s">
        <v>3510</v>
      </c>
      <c r="G1912">
        <v>222992</v>
      </c>
    </row>
    <row r="1913" spans="1:7" x14ac:dyDescent="0.35">
      <c r="A1913">
        <v>103038</v>
      </c>
      <c r="B1913">
        <v>2482</v>
      </c>
      <c r="C1913" t="s">
        <v>597</v>
      </c>
      <c r="D1913" t="s">
        <v>603</v>
      </c>
      <c r="E1913" t="s">
        <v>3511</v>
      </c>
    </row>
    <row r="1914" spans="1:7" x14ac:dyDescent="0.35">
      <c r="A1914">
        <v>102759</v>
      </c>
      <c r="B1914">
        <v>2462</v>
      </c>
      <c r="C1914" t="s">
        <v>602</v>
      </c>
      <c r="D1914" t="s">
        <v>603</v>
      </c>
      <c r="E1914" t="s">
        <v>3512</v>
      </c>
      <c r="G1914">
        <v>21672</v>
      </c>
    </row>
    <row r="1915" spans="1:7" x14ac:dyDescent="0.35">
      <c r="A1915">
        <v>103778</v>
      </c>
      <c r="B1915">
        <v>948</v>
      </c>
      <c r="C1915" t="s">
        <v>597</v>
      </c>
      <c r="D1915" t="s">
        <v>742</v>
      </c>
      <c r="E1915" t="s">
        <v>3513</v>
      </c>
      <c r="F1915">
        <v>587</v>
      </c>
      <c r="G1915">
        <v>225161</v>
      </c>
    </row>
    <row r="1916" spans="1:7" x14ac:dyDescent="0.35">
      <c r="A1916">
        <v>105003</v>
      </c>
      <c r="B1916">
        <v>1840</v>
      </c>
      <c r="C1916" t="s">
        <v>597</v>
      </c>
      <c r="D1916" t="s">
        <v>882</v>
      </c>
      <c r="E1916" t="s">
        <v>3514</v>
      </c>
    </row>
    <row r="1917" spans="1:7" x14ac:dyDescent="0.35">
      <c r="A1917">
        <v>104085</v>
      </c>
      <c r="B1917">
        <v>808</v>
      </c>
      <c r="C1917" t="s">
        <v>597</v>
      </c>
      <c r="D1917" t="s">
        <v>742</v>
      </c>
      <c r="E1917" t="s">
        <v>3515</v>
      </c>
      <c r="F1917">
        <v>445</v>
      </c>
      <c r="G1917">
        <v>226200</v>
      </c>
    </row>
    <row r="1918" spans="1:7" x14ac:dyDescent="0.35">
      <c r="A1918">
        <v>104061</v>
      </c>
      <c r="B1918">
        <v>645</v>
      </c>
      <c r="C1918" t="s">
        <v>597</v>
      </c>
      <c r="D1918" t="s">
        <v>742</v>
      </c>
      <c r="E1918" t="s">
        <v>3516</v>
      </c>
      <c r="F1918">
        <v>179</v>
      </c>
      <c r="G1918">
        <v>574</v>
      </c>
    </row>
    <row r="1919" spans="1:7" x14ac:dyDescent="0.35">
      <c r="A1919">
        <v>101913</v>
      </c>
      <c r="B1919">
        <v>2318</v>
      </c>
      <c r="C1919" t="s">
        <v>602</v>
      </c>
      <c r="D1919" t="s">
        <v>603</v>
      </c>
      <c r="E1919" t="s">
        <v>3517</v>
      </c>
      <c r="G1919">
        <v>219691</v>
      </c>
    </row>
    <row r="1920" spans="1:7" x14ac:dyDescent="0.35">
      <c r="A1920">
        <v>104138</v>
      </c>
      <c r="B1920">
        <v>2613</v>
      </c>
      <c r="C1920" t="s">
        <v>597</v>
      </c>
      <c r="D1920" t="s">
        <v>603</v>
      </c>
      <c r="E1920" t="s">
        <v>3518</v>
      </c>
    </row>
    <row r="1921" spans="1:12" x14ac:dyDescent="0.35">
      <c r="A1921">
        <v>102666</v>
      </c>
      <c r="B1921">
        <v>2437</v>
      </c>
      <c r="C1921" t="s">
        <v>597</v>
      </c>
      <c r="D1921" t="s">
        <v>603</v>
      </c>
      <c r="E1921" t="s">
        <v>3519</v>
      </c>
      <c r="G1921">
        <v>221263</v>
      </c>
    </row>
    <row r="1922" spans="1:12" x14ac:dyDescent="0.35">
      <c r="A1922">
        <v>102161</v>
      </c>
      <c r="B1922">
        <v>734</v>
      </c>
      <c r="C1922" t="s">
        <v>597</v>
      </c>
      <c r="D1922" t="s">
        <v>742</v>
      </c>
      <c r="E1922" t="s">
        <v>3520</v>
      </c>
      <c r="F1922">
        <v>149</v>
      </c>
    </row>
    <row r="1923" spans="1:12" x14ac:dyDescent="0.35">
      <c r="A1923">
        <v>104380</v>
      </c>
      <c r="B1923">
        <v>3292</v>
      </c>
      <c r="C1923" t="s">
        <v>602</v>
      </c>
      <c r="D1923" t="s">
        <v>603</v>
      </c>
      <c r="E1923" t="s">
        <v>3521</v>
      </c>
      <c r="G1923">
        <v>229113</v>
      </c>
    </row>
    <row r="1924" spans="1:12" x14ac:dyDescent="0.35">
      <c r="A1924">
        <v>104035</v>
      </c>
      <c r="B1924">
        <v>781</v>
      </c>
      <c r="C1924" t="s">
        <v>597</v>
      </c>
      <c r="D1924" t="s">
        <v>742</v>
      </c>
      <c r="E1924" t="s">
        <v>3522</v>
      </c>
      <c r="F1924">
        <v>609</v>
      </c>
      <c r="G1924">
        <v>226123</v>
      </c>
    </row>
    <row r="1925" spans="1:12" x14ac:dyDescent="0.35">
      <c r="A1925">
        <v>103970</v>
      </c>
      <c r="B1925">
        <v>2588</v>
      </c>
      <c r="C1925" t="s">
        <v>602</v>
      </c>
      <c r="D1925" t="s">
        <v>603</v>
      </c>
      <c r="E1925" t="s">
        <v>3523</v>
      </c>
      <c r="G1925">
        <v>219547</v>
      </c>
    </row>
    <row r="1926" spans="1:12" x14ac:dyDescent="0.35">
      <c r="A1926">
        <v>103580</v>
      </c>
      <c r="B1926">
        <v>1631</v>
      </c>
      <c r="C1926" t="s">
        <v>602</v>
      </c>
      <c r="D1926" t="s">
        <v>3237</v>
      </c>
      <c r="E1926" t="s">
        <v>3524</v>
      </c>
      <c r="F1926">
        <v>99400</v>
      </c>
      <c r="G1926">
        <v>222983</v>
      </c>
      <c r="K1926" t="s">
        <v>3277</v>
      </c>
    </row>
    <row r="1927" spans="1:12" x14ac:dyDescent="0.35">
      <c r="A1927">
        <v>0</v>
      </c>
      <c r="B1927">
        <v>3087</v>
      </c>
      <c r="C1927" t="s">
        <v>602</v>
      </c>
      <c r="D1927" t="s">
        <v>3102</v>
      </c>
      <c r="E1927" t="s">
        <v>3525</v>
      </c>
    </row>
    <row r="1928" spans="1:12" x14ac:dyDescent="0.35">
      <c r="A1928">
        <v>102322</v>
      </c>
      <c r="B1928">
        <v>2388</v>
      </c>
      <c r="C1928" t="s">
        <v>597</v>
      </c>
      <c r="D1928" t="s">
        <v>603</v>
      </c>
      <c r="E1928" t="s">
        <v>3526</v>
      </c>
      <c r="G1928">
        <v>2545</v>
      </c>
    </row>
    <row r="1929" spans="1:12" x14ac:dyDescent="0.35">
      <c r="A1929">
        <v>102001</v>
      </c>
      <c r="B1929">
        <v>2339</v>
      </c>
      <c r="C1929" t="s">
        <v>597</v>
      </c>
      <c r="D1929" t="s">
        <v>603</v>
      </c>
      <c r="E1929" t="s">
        <v>3527</v>
      </c>
    </row>
    <row r="1930" spans="1:12" x14ac:dyDescent="0.35">
      <c r="A1930">
        <v>101653</v>
      </c>
      <c r="B1930">
        <v>2275</v>
      </c>
      <c r="C1930" t="s">
        <v>597</v>
      </c>
      <c r="D1930" t="s">
        <v>603</v>
      </c>
      <c r="E1930" t="s">
        <v>3528</v>
      </c>
      <c r="G1930">
        <v>218047</v>
      </c>
    </row>
    <row r="1931" spans="1:12" x14ac:dyDescent="0.35">
      <c r="A1931">
        <v>101522</v>
      </c>
      <c r="B1931">
        <v>2266</v>
      </c>
      <c r="C1931" t="s">
        <v>602</v>
      </c>
      <c r="D1931" t="s">
        <v>603</v>
      </c>
      <c r="E1931" t="s">
        <v>225</v>
      </c>
      <c r="F1931">
        <v>3764</v>
      </c>
      <c r="G1931">
        <v>221758</v>
      </c>
    </row>
    <row r="1932" spans="1:12" x14ac:dyDescent="0.35">
      <c r="A1932">
        <v>103714</v>
      </c>
      <c r="B1932">
        <v>2560</v>
      </c>
      <c r="C1932" t="s">
        <v>597</v>
      </c>
      <c r="D1932" t="s">
        <v>603</v>
      </c>
      <c r="E1932" t="s">
        <v>3529</v>
      </c>
      <c r="G1932">
        <v>223227</v>
      </c>
    </row>
    <row r="1933" spans="1:12" x14ac:dyDescent="0.35">
      <c r="A1933">
        <v>103851</v>
      </c>
      <c r="B1933">
        <v>810</v>
      </c>
      <c r="C1933" t="s">
        <v>597</v>
      </c>
      <c r="D1933" t="s">
        <v>742</v>
      </c>
      <c r="E1933" t="s">
        <v>3530</v>
      </c>
      <c r="F1933">
        <v>589</v>
      </c>
    </row>
    <row r="1934" spans="1:12" x14ac:dyDescent="0.35">
      <c r="A1934">
        <v>103207</v>
      </c>
      <c r="B1934">
        <v>2505</v>
      </c>
      <c r="C1934" t="s">
        <v>597</v>
      </c>
      <c r="D1934" t="s">
        <v>603</v>
      </c>
      <c r="E1934" t="s">
        <v>3531</v>
      </c>
      <c r="G1934">
        <v>227251</v>
      </c>
    </row>
    <row r="1935" spans="1:12" x14ac:dyDescent="0.35">
      <c r="A1935">
        <v>103564</v>
      </c>
      <c r="B1935">
        <v>761</v>
      </c>
      <c r="C1935" t="s">
        <v>597</v>
      </c>
      <c r="D1935" t="s">
        <v>742</v>
      </c>
      <c r="E1935" t="s">
        <v>3532</v>
      </c>
      <c r="F1935">
        <v>165</v>
      </c>
    </row>
    <row r="1936" spans="1:12" x14ac:dyDescent="0.35">
      <c r="A1936">
        <v>0</v>
      </c>
      <c r="B1936">
        <v>3388</v>
      </c>
      <c r="C1936" t="s">
        <v>602</v>
      </c>
      <c r="D1936" t="s">
        <v>3533</v>
      </c>
      <c r="E1936" t="s">
        <v>3534</v>
      </c>
      <c r="G1936">
        <v>0</v>
      </c>
      <c r="L1936" t="s">
        <v>2859</v>
      </c>
    </row>
    <row r="1937" spans="1:7" x14ac:dyDescent="0.35">
      <c r="A1937">
        <v>103991</v>
      </c>
      <c r="B1937">
        <v>2595</v>
      </c>
      <c r="C1937" t="s">
        <v>597</v>
      </c>
      <c r="D1937" t="s">
        <v>603</v>
      </c>
      <c r="E1937" t="s">
        <v>3535</v>
      </c>
    </row>
    <row r="1938" spans="1:7" x14ac:dyDescent="0.35">
      <c r="A1938">
        <v>101854</v>
      </c>
      <c r="B1938">
        <v>2301</v>
      </c>
      <c r="C1938" t="s">
        <v>602</v>
      </c>
      <c r="D1938" t="s">
        <v>603</v>
      </c>
      <c r="E1938" t="s">
        <v>3536</v>
      </c>
      <c r="G1938">
        <v>854</v>
      </c>
    </row>
    <row r="1939" spans="1:7" x14ac:dyDescent="0.35">
      <c r="A1939">
        <v>104050</v>
      </c>
      <c r="B1939">
        <v>825</v>
      </c>
      <c r="C1939" t="s">
        <v>597</v>
      </c>
      <c r="D1939" t="s">
        <v>742</v>
      </c>
      <c r="E1939" t="s">
        <v>3537</v>
      </c>
      <c r="F1939">
        <v>487</v>
      </c>
      <c r="G1939">
        <v>226143</v>
      </c>
    </row>
    <row r="1940" spans="1:7" x14ac:dyDescent="0.35">
      <c r="A1940">
        <v>102607</v>
      </c>
      <c r="B1940">
        <v>2432</v>
      </c>
      <c r="C1940" t="s">
        <v>602</v>
      </c>
      <c r="D1940" t="s">
        <v>603</v>
      </c>
      <c r="E1940" t="s">
        <v>3538</v>
      </c>
      <c r="G1940">
        <v>220139</v>
      </c>
    </row>
    <row r="1941" spans="1:7" x14ac:dyDescent="0.35">
      <c r="A1941">
        <v>103999</v>
      </c>
      <c r="B1941">
        <v>2597</v>
      </c>
      <c r="C1941" t="s">
        <v>602</v>
      </c>
      <c r="D1941" t="s">
        <v>603</v>
      </c>
      <c r="E1941" t="s">
        <v>169</v>
      </c>
      <c r="G1941">
        <v>225954</v>
      </c>
    </row>
    <row r="1942" spans="1:7" x14ac:dyDescent="0.35">
      <c r="A1942">
        <v>101928</v>
      </c>
      <c r="B1942">
        <v>2323</v>
      </c>
      <c r="C1942" t="s">
        <v>602</v>
      </c>
      <c r="D1942" t="s">
        <v>603</v>
      </c>
      <c r="E1942" t="s">
        <v>3539</v>
      </c>
      <c r="F1942">
        <v>615303</v>
      </c>
      <c r="G1942">
        <v>218649</v>
      </c>
    </row>
    <row r="1943" spans="1:7" x14ac:dyDescent="0.35">
      <c r="A1943">
        <v>103646</v>
      </c>
      <c r="B1943">
        <v>2553</v>
      </c>
      <c r="C1943" t="s">
        <v>597</v>
      </c>
      <c r="D1943" t="s">
        <v>603</v>
      </c>
      <c r="E1943" t="s">
        <v>3540</v>
      </c>
    </row>
    <row r="1944" spans="1:7" x14ac:dyDescent="0.35">
      <c r="A1944">
        <v>103760</v>
      </c>
      <c r="B1944">
        <v>874</v>
      </c>
      <c r="C1944" t="s">
        <v>597</v>
      </c>
      <c r="D1944" t="s">
        <v>742</v>
      </c>
      <c r="E1944" t="s">
        <v>3541</v>
      </c>
      <c r="F1944">
        <v>189</v>
      </c>
      <c r="G1944">
        <v>219169</v>
      </c>
    </row>
    <row r="1945" spans="1:7" x14ac:dyDescent="0.35">
      <c r="A1945">
        <v>104104</v>
      </c>
      <c r="B1945">
        <v>2611</v>
      </c>
      <c r="C1945" t="s">
        <v>602</v>
      </c>
      <c r="D1945" t="s">
        <v>603</v>
      </c>
      <c r="E1945" t="s">
        <v>33</v>
      </c>
      <c r="G1945">
        <v>222751</v>
      </c>
    </row>
    <row r="1946" spans="1:7" x14ac:dyDescent="0.35">
      <c r="A1946">
        <v>101917</v>
      </c>
      <c r="B1946">
        <v>2320</v>
      </c>
      <c r="C1946" t="s">
        <v>602</v>
      </c>
      <c r="D1946" t="s">
        <v>3443</v>
      </c>
      <c r="E1946" t="s">
        <v>489</v>
      </c>
      <c r="F1946">
        <v>2006</v>
      </c>
      <c r="G1946">
        <v>2420</v>
      </c>
    </row>
    <row r="1947" spans="1:7" x14ac:dyDescent="0.35">
      <c r="A1947">
        <v>103971</v>
      </c>
      <c r="B1947">
        <v>887</v>
      </c>
      <c r="C1947" t="s">
        <v>597</v>
      </c>
      <c r="D1947" t="s">
        <v>742</v>
      </c>
      <c r="E1947" t="s">
        <v>3542</v>
      </c>
      <c r="F1947">
        <v>595</v>
      </c>
      <c r="G1947">
        <v>225441</v>
      </c>
    </row>
    <row r="1948" spans="1:7" x14ac:dyDescent="0.35">
      <c r="A1948">
        <v>101815</v>
      </c>
      <c r="B1948">
        <v>860</v>
      </c>
      <c r="C1948" t="s">
        <v>597</v>
      </c>
      <c r="D1948" t="s">
        <v>742</v>
      </c>
      <c r="E1948" t="s">
        <v>3543</v>
      </c>
      <c r="F1948">
        <v>402</v>
      </c>
      <c r="G1948">
        <v>226208</v>
      </c>
    </row>
    <row r="1949" spans="1:7" x14ac:dyDescent="0.35">
      <c r="A1949">
        <v>103720</v>
      </c>
      <c r="B1949">
        <v>916</v>
      </c>
      <c r="C1949" t="s">
        <v>597</v>
      </c>
      <c r="D1949" t="s">
        <v>742</v>
      </c>
      <c r="E1949" t="s">
        <v>3544</v>
      </c>
      <c r="F1949">
        <v>352</v>
      </c>
      <c r="G1949">
        <v>2369</v>
      </c>
    </row>
    <row r="1950" spans="1:7" x14ac:dyDescent="0.35">
      <c r="A1950">
        <v>104310</v>
      </c>
      <c r="B1950">
        <v>1837</v>
      </c>
      <c r="C1950" t="s">
        <v>597</v>
      </c>
      <c r="D1950" t="s">
        <v>882</v>
      </c>
      <c r="E1950" t="s">
        <v>3545</v>
      </c>
      <c r="G1950">
        <v>226506</v>
      </c>
    </row>
    <row r="1951" spans="1:7" x14ac:dyDescent="0.35">
      <c r="A1951">
        <v>104185</v>
      </c>
      <c r="B1951">
        <v>1834</v>
      </c>
      <c r="C1951" t="s">
        <v>602</v>
      </c>
      <c r="D1951" t="s">
        <v>882</v>
      </c>
      <c r="E1951" t="s">
        <v>3546</v>
      </c>
      <c r="G1951">
        <v>225998</v>
      </c>
    </row>
    <row r="1952" spans="1:7" x14ac:dyDescent="0.35">
      <c r="A1952">
        <v>103777</v>
      </c>
      <c r="B1952">
        <v>2569</v>
      </c>
      <c r="C1952" t="s">
        <v>597</v>
      </c>
      <c r="D1952" t="s">
        <v>603</v>
      </c>
      <c r="E1952" t="s">
        <v>3547</v>
      </c>
      <c r="F1952">
        <v>7014</v>
      </c>
      <c r="G1952">
        <v>460</v>
      </c>
    </row>
    <row r="1953" spans="1:8" x14ac:dyDescent="0.35">
      <c r="A1953">
        <v>103639</v>
      </c>
      <c r="B1953">
        <v>861</v>
      </c>
      <c r="C1953" t="s">
        <v>597</v>
      </c>
      <c r="D1953" t="s">
        <v>742</v>
      </c>
      <c r="E1953" t="s">
        <v>3548</v>
      </c>
      <c r="F1953">
        <v>294</v>
      </c>
      <c r="G1953">
        <v>2538</v>
      </c>
    </row>
    <row r="1954" spans="1:8" x14ac:dyDescent="0.35">
      <c r="A1954">
        <v>104254</v>
      </c>
      <c r="B1954">
        <v>2629</v>
      </c>
      <c r="C1954" t="s">
        <v>602</v>
      </c>
      <c r="D1954" t="s">
        <v>603</v>
      </c>
      <c r="E1954" t="s">
        <v>3549</v>
      </c>
      <c r="G1954">
        <v>227433</v>
      </c>
    </row>
    <row r="1955" spans="1:8" x14ac:dyDescent="0.35">
      <c r="A1955">
        <v>103782</v>
      </c>
      <c r="B1955">
        <v>2572</v>
      </c>
      <c r="C1955" t="s">
        <v>602</v>
      </c>
      <c r="D1955" t="s">
        <v>603</v>
      </c>
      <c r="E1955" t="s">
        <v>3550</v>
      </c>
      <c r="G1955">
        <v>225136</v>
      </c>
    </row>
    <row r="1956" spans="1:8" x14ac:dyDescent="0.35">
      <c r="A1956">
        <v>0</v>
      </c>
      <c r="B1956">
        <v>3396</v>
      </c>
      <c r="C1956" t="s">
        <v>602</v>
      </c>
      <c r="D1956" t="s">
        <v>2470</v>
      </c>
      <c r="E1956" t="s">
        <v>3551</v>
      </c>
      <c r="G1956">
        <v>0</v>
      </c>
    </row>
    <row r="1957" spans="1:8" x14ac:dyDescent="0.35">
      <c r="A1957">
        <v>103929</v>
      </c>
      <c r="B1957">
        <v>1793</v>
      </c>
      <c r="C1957" t="s">
        <v>597</v>
      </c>
      <c r="D1957" t="s">
        <v>882</v>
      </c>
      <c r="E1957" t="s">
        <v>3552</v>
      </c>
      <c r="G1957">
        <v>225436</v>
      </c>
    </row>
    <row r="1958" spans="1:8" x14ac:dyDescent="0.35">
      <c r="A1958">
        <v>103496</v>
      </c>
      <c r="B1958">
        <v>950</v>
      </c>
      <c r="C1958" t="s">
        <v>597</v>
      </c>
      <c r="D1958" t="s">
        <v>742</v>
      </c>
      <c r="E1958" t="s">
        <v>3553</v>
      </c>
      <c r="F1958">
        <v>558</v>
      </c>
      <c r="G1958">
        <v>222817</v>
      </c>
    </row>
    <row r="1959" spans="1:8" x14ac:dyDescent="0.35">
      <c r="A1959">
        <v>104281</v>
      </c>
      <c r="B1959">
        <v>2635</v>
      </c>
      <c r="C1959" t="s">
        <v>597</v>
      </c>
      <c r="D1959" t="s">
        <v>603</v>
      </c>
      <c r="E1959" t="s">
        <v>3554</v>
      </c>
      <c r="G1959">
        <v>227660</v>
      </c>
    </row>
    <row r="1960" spans="1:8" x14ac:dyDescent="0.35">
      <c r="A1960">
        <v>102385</v>
      </c>
      <c r="B1960">
        <v>2398</v>
      </c>
      <c r="C1960" t="s">
        <v>597</v>
      </c>
      <c r="D1960" t="s">
        <v>603</v>
      </c>
      <c r="E1960" t="s">
        <v>3555</v>
      </c>
    </row>
    <row r="1961" spans="1:8" x14ac:dyDescent="0.35">
      <c r="A1961">
        <v>103919</v>
      </c>
      <c r="B1961">
        <v>1785</v>
      </c>
      <c r="C1961" t="s">
        <v>597</v>
      </c>
      <c r="D1961" t="s">
        <v>882</v>
      </c>
      <c r="E1961" t="s">
        <v>3556</v>
      </c>
      <c r="G1961">
        <v>225371</v>
      </c>
    </row>
    <row r="1962" spans="1:8" x14ac:dyDescent="0.35">
      <c r="A1962">
        <v>104078</v>
      </c>
      <c r="B1962">
        <v>902</v>
      </c>
      <c r="C1962" t="s">
        <v>597</v>
      </c>
      <c r="D1962" t="s">
        <v>742</v>
      </c>
      <c r="E1962" t="s">
        <v>3557</v>
      </c>
      <c r="F1962">
        <v>113</v>
      </c>
    </row>
    <row r="1963" spans="1:8" x14ac:dyDescent="0.35">
      <c r="A1963">
        <v>101499</v>
      </c>
      <c r="B1963">
        <v>1097</v>
      </c>
      <c r="C1963" t="s">
        <v>602</v>
      </c>
      <c r="D1963" t="s">
        <v>3102</v>
      </c>
      <c r="E1963" t="s">
        <v>3558</v>
      </c>
      <c r="H1963" t="s">
        <v>964</v>
      </c>
    </row>
    <row r="1964" spans="1:8" x14ac:dyDescent="0.35">
      <c r="A1964">
        <v>103567</v>
      </c>
      <c r="B1964">
        <v>859</v>
      </c>
      <c r="C1964" t="s">
        <v>597</v>
      </c>
      <c r="D1964" t="s">
        <v>742</v>
      </c>
      <c r="E1964" t="s">
        <v>3559</v>
      </c>
      <c r="F1964">
        <v>315</v>
      </c>
    </row>
    <row r="1965" spans="1:8" x14ac:dyDescent="0.35">
      <c r="A1965">
        <v>103997</v>
      </c>
      <c r="B1965">
        <v>903</v>
      </c>
      <c r="C1965" t="s">
        <v>597</v>
      </c>
      <c r="D1965" t="s">
        <v>742</v>
      </c>
      <c r="E1965" t="s">
        <v>3560</v>
      </c>
      <c r="F1965">
        <v>410</v>
      </c>
      <c r="G1965">
        <v>225990</v>
      </c>
    </row>
    <row r="1966" spans="1:8" x14ac:dyDescent="0.35">
      <c r="A1966">
        <v>102740</v>
      </c>
      <c r="B1966">
        <v>2453</v>
      </c>
      <c r="C1966" t="s">
        <v>597</v>
      </c>
      <c r="D1966" t="s">
        <v>603</v>
      </c>
      <c r="E1966" t="s">
        <v>3561</v>
      </c>
    </row>
    <row r="1967" spans="1:8" x14ac:dyDescent="0.35">
      <c r="A1967">
        <v>104301</v>
      </c>
      <c r="B1967">
        <v>594</v>
      </c>
      <c r="C1967" t="s">
        <v>597</v>
      </c>
      <c r="D1967" t="s">
        <v>742</v>
      </c>
      <c r="E1967" t="s">
        <v>3562</v>
      </c>
      <c r="F1967">
        <v>648</v>
      </c>
      <c r="G1967">
        <v>227759</v>
      </c>
    </row>
    <row r="1968" spans="1:8" x14ac:dyDescent="0.35">
      <c r="A1968">
        <v>103962</v>
      </c>
      <c r="B1968">
        <v>1825</v>
      </c>
      <c r="C1968" t="s">
        <v>602</v>
      </c>
      <c r="D1968" t="s">
        <v>882</v>
      </c>
      <c r="E1968" t="s">
        <v>3563</v>
      </c>
      <c r="G1968">
        <v>226040</v>
      </c>
    </row>
    <row r="1969" spans="1:7" x14ac:dyDescent="0.35">
      <c r="A1969">
        <v>103522</v>
      </c>
      <c r="B1969">
        <v>795</v>
      </c>
      <c r="C1969" t="s">
        <v>597</v>
      </c>
      <c r="D1969" t="s">
        <v>742</v>
      </c>
      <c r="E1969" t="s">
        <v>3564</v>
      </c>
      <c r="F1969">
        <v>303</v>
      </c>
    </row>
    <row r="1970" spans="1:7" x14ac:dyDescent="0.35">
      <c r="A1970">
        <v>101681</v>
      </c>
      <c r="B1970">
        <v>1307</v>
      </c>
      <c r="C1970" t="s">
        <v>597</v>
      </c>
      <c r="D1970" t="s">
        <v>3417</v>
      </c>
      <c r="E1970" t="s">
        <v>3565</v>
      </c>
      <c r="G1970">
        <v>218098</v>
      </c>
    </row>
    <row r="1971" spans="1:7" x14ac:dyDescent="0.35">
      <c r="A1971">
        <v>103604</v>
      </c>
      <c r="B1971">
        <v>899</v>
      </c>
      <c r="C1971" t="s">
        <v>597</v>
      </c>
      <c r="D1971" t="s">
        <v>742</v>
      </c>
      <c r="E1971" t="s">
        <v>3566</v>
      </c>
      <c r="F1971">
        <v>440</v>
      </c>
      <c r="G1971">
        <v>23086</v>
      </c>
    </row>
    <row r="1972" spans="1:7" x14ac:dyDescent="0.35">
      <c r="A1972">
        <v>103662</v>
      </c>
      <c r="B1972">
        <v>898</v>
      </c>
      <c r="C1972" t="s">
        <v>597</v>
      </c>
      <c r="D1972" t="s">
        <v>742</v>
      </c>
      <c r="E1972" t="s">
        <v>3567</v>
      </c>
      <c r="F1972">
        <v>254</v>
      </c>
    </row>
    <row r="1973" spans="1:7" x14ac:dyDescent="0.35">
      <c r="A1973">
        <v>104088</v>
      </c>
      <c r="B1973">
        <v>793</v>
      </c>
      <c r="C1973" t="s">
        <v>597</v>
      </c>
      <c r="D1973" t="s">
        <v>742</v>
      </c>
      <c r="E1973" t="s">
        <v>3568</v>
      </c>
      <c r="F1973">
        <v>249</v>
      </c>
    </row>
    <row r="1974" spans="1:7" x14ac:dyDescent="0.35">
      <c r="A1974">
        <v>104287</v>
      </c>
      <c r="B1974">
        <v>598</v>
      </c>
      <c r="C1974" t="s">
        <v>597</v>
      </c>
      <c r="D1974" t="s">
        <v>742</v>
      </c>
      <c r="E1974" t="s">
        <v>3569</v>
      </c>
      <c r="G1974">
        <v>227703</v>
      </c>
    </row>
    <row r="1975" spans="1:7" x14ac:dyDescent="0.35">
      <c r="A1975">
        <v>101738</v>
      </c>
      <c r="B1975">
        <v>2283</v>
      </c>
      <c r="C1975" t="s">
        <v>602</v>
      </c>
      <c r="D1975" t="s">
        <v>603</v>
      </c>
      <c r="E1975" t="s">
        <v>3570</v>
      </c>
      <c r="G1975">
        <v>21963</v>
      </c>
    </row>
    <row r="1976" spans="1:7" x14ac:dyDescent="0.35">
      <c r="A1976">
        <v>101415</v>
      </c>
      <c r="B1976">
        <v>2264</v>
      </c>
      <c r="C1976" t="s">
        <v>597</v>
      </c>
      <c r="D1976" t="s">
        <v>603</v>
      </c>
      <c r="E1976" t="s">
        <v>3571</v>
      </c>
    </row>
    <row r="1977" spans="1:7" x14ac:dyDescent="0.35">
      <c r="A1977">
        <v>103688</v>
      </c>
      <c r="B1977">
        <v>2557</v>
      </c>
      <c r="C1977" t="s">
        <v>602</v>
      </c>
      <c r="D1977" t="s">
        <v>603</v>
      </c>
      <c r="E1977" t="s">
        <v>3572</v>
      </c>
      <c r="G1977">
        <v>223235</v>
      </c>
    </row>
    <row r="1978" spans="1:7" x14ac:dyDescent="0.35">
      <c r="A1978">
        <v>0</v>
      </c>
      <c r="B1978">
        <v>3390</v>
      </c>
      <c r="C1978" t="s">
        <v>602</v>
      </c>
      <c r="D1978" t="s">
        <v>3402</v>
      </c>
      <c r="E1978" t="s">
        <v>3573</v>
      </c>
      <c r="G1978">
        <v>0</v>
      </c>
    </row>
    <row r="1979" spans="1:7" x14ac:dyDescent="0.35">
      <c r="A1979">
        <v>102279</v>
      </c>
      <c r="B1979">
        <v>802</v>
      </c>
      <c r="C1979" t="s">
        <v>597</v>
      </c>
      <c r="D1979" t="s">
        <v>742</v>
      </c>
      <c r="E1979" t="s">
        <v>3574</v>
      </c>
      <c r="F1979">
        <v>293</v>
      </c>
      <c r="G1979">
        <v>1</v>
      </c>
    </row>
    <row r="1980" spans="1:7" x14ac:dyDescent="0.35">
      <c r="A1980">
        <v>103516</v>
      </c>
      <c r="B1980">
        <v>784</v>
      </c>
      <c r="C1980" t="s">
        <v>597</v>
      </c>
      <c r="D1980" t="s">
        <v>742</v>
      </c>
      <c r="E1980" t="s">
        <v>3575</v>
      </c>
      <c r="F1980">
        <v>404</v>
      </c>
      <c r="G1980">
        <v>222839</v>
      </c>
    </row>
    <row r="1981" spans="1:7" x14ac:dyDescent="0.35">
      <c r="A1981">
        <v>103310</v>
      </c>
      <c r="B1981">
        <v>2515</v>
      </c>
      <c r="C1981" t="s">
        <v>597</v>
      </c>
      <c r="D1981" t="s">
        <v>603</v>
      </c>
      <c r="E1981" t="s">
        <v>3576</v>
      </c>
      <c r="G1981">
        <v>222431</v>
      </c>
    </row>
    <row r="1982" spans="1:7" x14ac:dyDescent="0.35">
      <c r="A1982">
        <v>103784</v>
      </c>
      <c r="B1982">
        <v>2574</v>
      </c>
      <c r="C1982" t="s">
        <v>602</v>
      </c>
      <c r="D1982" t="s">
        <v>603</v>
      </c>
      <c r="E1982" t="s">
        <v>3577</v>
      </c>
      <c r="G1982">
        <v>225167</v>
      </c>
    </row>
    <row r="1983" spans="1:7" x14ac:dyDescent="0.35">
      <c r="A1983">
        <v>102482</v>
      </c>
      <c r="B1983">
        <v>2414</v>
      </c>
      <c r="C1983" t="s">
        <v>597</v>
      </c>
      <c r="D1983" t="s">
        <v>603</v>
      </c>
      <c r="E1983" t="s">
        <v>3578</v>
      </c>
      <c r="G1983">
        <v>908</v>
      </c>
    </row>
    <row r="1984" spans="1:7" x14ac:dyDescent="0.35">
      <c r="A1984">
        <v>101916</v>
      </c>
      <c r="B1984">
        <v>777</v>
      </c>
      <c r="C1984" t="s">
        <v>597</v>
      </c>
      <c r="D1984" t="s">
        <v>742</v>
      </c>
      <c r="E1984" t="s">
        <v>3579</v>
      </c>
      <c r="F1984">
        <v>384</v>
      </c>
      <c r="G1984">
        <v>220375</v>
      </c>
    </row>
    <row r="1985" spans="1:11" x14ac:dyDescent="0.35">
      <c r="A1985">
        <v>102770</v>
      </c>
      <c r="B1985">
        <v>2463</v>
      </c>
      <c r="C1985" t="s">
        <v>597</v>
      </c>
      <c r="D1985" t="s">
        <v>603</v>
      </c>
      <c r="E1985" t="s">
        <v>3580</v>
      </c>
      <c r="G1985">
        <v>221708</v>
      </c>
    </row>
    <row r="1986" spans="1:11" x14ac:dyDescent="0.35">
      <c r="A1986">
        <v>103717</v>
      </c>
      <c r="B1986">
        <v>663</v>
      </c>
      <c r="C1986" t="s">
        <v>597</v>
      </c>
      <c r="D1986" t="s">
        <v>742</v>
      </c>
      <c r="E1986" t="s">
        <v>3581</v>
      </c>
      <c r="F1986">
        <v>348</v>
      </c>
    </row>
    <row r="1987" spans="1:11" x14ac:dyDescent="0.35">
      <c r="A1987">
        <v>104258</v>
      </c>
      <c r="B1987">
        <v>607</v>
      </c>
      <c r="C1987" t="s">
        <v>597</v>
      </c>
      <c r="D1987" t="s">
        <v>742</v>
      </c>
      <c r="E1987" t="s">
        <v>3582</v>
      </c>
      <c r="G1987">
        <v>227522</v>
      </c>
    </row>
    <row r="1988" spans="1:11" x14ac:dyDescent="0.35">
      <c r="A1988">
        <v>101175</v>
      </c>
      <c r="B1988">
        <v>2244</v>
      </c>
      <c r="C1988" t="s">
        <v>602</v>
      </c>
      <c r="D1988" t="s">
        <v>603</v>
      </c>
      <c r="E1988" t="s">
        <v>3583</v>
      </c>
      <c r="G1988">
        <v>985</v>
      </c>
    </row>
    <row r="1989" spans="1:11" x14ac:dyDescent="0.35">
      <c r="A1989">
        <v>102427</v>
      </c>
      <c r="B1989">
        <v>668</v>
      </c>
      <c r="C1989" t="s">
        <v>597</v>
      </c>
      <c r="D1989" t="s">
        <v>742</v>
      </c>
      <c r="E1989" t="s">
        <v>3584</v>
      </c>
      <c r="F1989">
        <v>493</v>
      </c>
      <c r="G1989">
        <v>1173</v>
      </c>
    </row>
    <row r="1990" spans="1:11" x14ac:dyDescent="0.35">
      <c r="A1990">
        <v>103939</v>
      </c>
      <c r="B1990">
        <v>1803</v>
      </c>
      <c r="C1990" t="s">
        <v>597</v>
      </c>
      <c r="D1990" t="s">
        <v>882</v>
      </c>
      <c r="E1990" t="s">
        <v>3585</v>
      </c>
      <c r="G1990">
        <v>225934</v>
      </c>
    </row>
    <row r="1991" spans="1:11" x14ac:dyDescent="0.35">
      <c r="A1991">
        <v>102275</v>
      </c>
      <c r="B1991">
        <v>2376</v>
      </c>
      <c r="C1991" t="s">
        <v>597</v>
      </c>
      <c r="D1991" t="s">
        <v>603</v>
      </c>
      <c r="E1991" t="s">
        <v>3586</v>
      </c>
    </row>
    <row r="1992" spans="1:11" x14ac:dyDescent="0.35">
      <c r="A1992">
        <v>101721</v>
      </c>
      <c r="B1992">
        <v>890</v>
      </c>
      <c r="C1992" t="s">
        <v>597</v>
      </c>
      <c r="D1992" t="s">
        <v>742</v>
      </c>
      <c r="E1992" t="s">
        <v>3587</v>
      </c>
      <c r="F1992">
        <v>221</v>
      </c>
      <c r="G1992">
        <v>223083</v>
      </c>
    </row>
    <row r="1993" spans="1:11" x14ac:dyDescent="0.35">
      <c r="A1993">
        <v>103712</v>
      </c>
      <c r="B1993">
        <v>919</v>
      </c>
      <c r="C1993" t="s">
        <v>597</v>
      </c>
      <c r="D1993" t="s">
        <v>742</v>
      </c>
      <c r="E1993" t="s">
        <v>3588</v>
      </c>
      <c r="F1993">
        <v>528</v>
      </c>
      <c r="G1993">
        <v>223175</v>
      </c>
    </row>
    <row r="1994" spans="1:11" x14ac:dyDescent="0.35">
      <c r="A1994">
        <v>104047</v>
      </c>
      <c r="B1994">
        <v>741</v>
      </c>
      <c r="C1994" t="s">
        <v>597</v>
      </c>
      <c r="D1994" t="s">
        <v>742</v>
      </c>
      <c r="E1994" t="s">
        <v>3589</v>
      </c>
      <c r="F1994">
        <v>331</v>
      </c>
      <c r="G1994">
        <v>226129</v>
      </c>
    </row>
    <row r="1995" spans="1:11" x14ac:dyDescent="0.35">
      <c r="A1995">
        <v>0</v>
      </c>
      <c r="B1995">
        <v>3336</v>
      </c>
      <c r="C1995" t="s">
        <v>1308</v>
      </c>
      <c r="D1995" t="s">
        <v>3318</v>
      </c>
      <c r="E1995" t="s">
        <v>3590</v>
      </c>
      <c r="G1995">
        <v>0</v>
      </c>
      <c r="K1995" t="s">
        <v>1245</v>
      </c>
    </row>
    <row r="1996" spans="1:11" x14ac:dyDescent="0.35">
      <c r="A1996">
        <v>103073</v>
      </c>
      <c r="B1996">
        <v>2486</v>
      </c>
      <c r="C1996" t="s">
        <v>602</v>
      </c>
      <c r="D1996" t="s">
        <v>603</v>
      </c>
      <c r="E1996" t="s">
        <v>3591</v>
      </c>
      <c r="G1996">
        <v>22154</v>
      </c>
    </row>
    <row r="1997" spans="1:11" x14ac:dyDescent="0.35">
      <c r="A1997">
        <v>101855</v>
      </c>
      <c r="B1997">
        <v>2302</v>
      </c>
      <c r="C1997" t="s">
        <v>602</v>
      </c>
      <c r="D1997" t="s">
        <v>603</v>
      </c>
      <c r="E1997" t="s">
        <v>181</v>
      </c>
      <c r="F1997">
        <v>225828</v>
      </c>
      <c r="G1997">
        <v>2114</v>
      </c>
    </row>
    <row r="1998" spans="1:11" x14ac:dyDescent="0.35">
      <c r="A1998">
        <v>104058</v>
      </c>
      <c r="B1998">
        <v>856</v>
      </c>
      <c r="C1998" t="s">
        <v>597</v>
      </c>
      <c r="D1998" t="s">
        <v>742</v>
      </c>
      <c r="E1998" t="s">
        <v>3592</v>
      </c>
      <c r="F1998">
        <v>544</v>
      </c>
      <c r="G1998">
        <v>226128</v>
      </c>
    </row>
    <row r="1999" spans="1:11" x14ac:dyDescent="0.35">
      <c r="A1999">
        <v>102434</v>
      </c>
      <c r="B1999">
        <v>929</v>
      </c>
      <c r="C1999" t="s">
        <v>597</v>
      </c>
      <c r="D1999" t="s">
        <v>742</v>
      </c>
      <c r="E1999" t="s">
        <v>3593</v>
      </c>
      <c r="F1999">
        <v>567</v>
      </c>
    </row>
    <row r="2000" spans="1:11" x14ac:dyDescent="0.35">
      <c r="A2000">
        <v>103171</v>
      </c>
      <c r="B2000">
        <v>2499</v>
      </c>
      <c r="C2000" t="s">
        <v>597</v>
      </c>
      <c r="D2000" t="s">
        <v>603</v>
      </c>
      <c r="E2000" t="s">
        <v>3594</v>
      </c>
      <c r="G2000">
        <v>2105</v>
      </c>
    </row>
    <row r="2001" spans="1:7" x14ac:dyDescent="0.35">
      <c r="A2001">
        <v>101608</v>
      </c>
      <c r="B2001">
        <v>2267</v>
      </c>
      <c r="C2001" t="s">
        <v>597</v>
      </c>
      <c r="D2001" t="s">
        <v>603</v>
      </c>
      <c r="E2001" t="s">
        <v>3595</v>
      </c>
    </row>
    <row r="2002" spans="1:7" x14ac:dyDescent="0.35">
      <c r="A2002">
        <v>102280</v>
      </c>
      <c r="B2002">
        <v>2379</v>
      </c>
      <c r="C2002" t="s">
        <v>602</v>
      </c>
      <c r="D2002" t="s">
        <v>603</v>
      </c>
      <c r="E2002" t="s">
        <v>3596</v>
      </c>
      <c r="G2002">
        <v>22963</v>
      </c>
    </row>
    <row r="2003" spans="1:7" x14ac:dyDescent="0.35">
      <c r="A2003">
        <v>104329</v>
      </c>
      <c r="B2003">
        <v>2649</v>
      </c>
      <c r="C2003" t="s">
        <v>602</v>
      </c>
      <c r="D2003" t="s">
        <v>603</v>
      </c>
      <c r="E2003" t="s">
        <v>3597</v>
      </c>
      <c r="G2003">
        <v>228370</v>
      </c>
    </row>
    <row r="2004" spans="1:7" x14ac:dyDescent="0.35">
      <c r="A2004">
        <v>104092</v>
      </c>
      <c r="B2004">
        <v>811</v>
      </c>
      <c r="C2004" t="s">
        <v>597</v>
      </c>
      <c r="D2004" t="s">
        <v>742</v>
      </c>
      <c r="E2004" t="s">
        <v>3598</v>
      </c>
      <c r="F2004">
        <v>300</v>
      </c>
      <c r="G2004">
        <v>226291</v>
      </c>
    </row>
    <row r="2005" spans="1:7" x14ac:dyDescent="0.35">
      <c r="A2005">
        <v>102241</v>
      </c>
      <c r="B2005">
        <v>2372</v>
      </c>
      <c r="C2005" t="s">
        <v>602</v>
      </c>
      <c r="D2005" t="s">
        <v>603</v>
      </c>
      <c r="E2005" t="s">
        <v>3599</v>
      </c>
      <c r="G2005">
        <v>220582</v>
      </c>
    </row>
    <row r="2006" spans="1:7" x14ac:dyDescent="0.35">
      <c r="A2006">
        <v>103366</v>
      </c>
      <c r="B2006">
        <v>2522</v>
      </c>
      <c r="C2006" t="s">
        <v>597</v>
      </c>
      <c r="D2006" t="s">
        <v>603</v>
      </c>
      <c r="E2006" t="s">
        <v>3600</v>
      </c>
    </row>
    <row r="2007" spans="1:7" x14ac:dyDescent="0.35">
      <c r="A2007">
        <v>103210</v>
      </c>
      <c r="B2007">
        <v>1442</v>
      </c>
      <c r="C2007" t="s">
        <v>597</v>
      </c>
      <c r="D2007" t="s">
        <v>3237</v>
      </c>
      <c r="E2007" t="s">
        <v>3601</v>
      </c>
      <c r="G2007">
        <v>222273</v>
      </c>
    </row>
    <row r="2008" spans="1:7" x14ac:dyDescent="0.35">
      <c r="A2008">
        <v>102272</v>
      </c>
      <c r="B2008">
        <v>908</v>
      </c>
      <c r="C2008" t="s">
        <v>597</v>
      </c>
      <c r="D2008" t="s">
        <v>742</v>
      </c>
      <c r="E2008" t="s">
        <v>3602</v>
      </c>
      <c r="F2008">
        <v>598</v>
      </c>
      <c r="G2008">
        <v>1927</v>
      </c>
    </row>
    <row r="2009" spans="1:7" x14ac:dyDescent="0.35">
      <c r="A2009">
        <v>103578</v>
      </c>
      <c r="B2009">
        <v>711</v>
      </c>
      <c r="C2009" t="s">
        <v>597</v>
      </c>
      <c r="D2009" t="s">
        <v>742</v>
      </c>
      <c r="E2009" t="s">
        <v>3603</v>
      </c>
      <c r="F2009">
        <v>236</v>
      </c>
      <c r="G2009">
        <v>222979</v>
      </c>
    </row>
    <row r="2010" spans="1:7" x14ac:dyDescent="0.35">
      <c r="A2010">
        <v>103172</v>
      </c>
      <c r="B2010">
        <v>2500</v>
      </c>
      <c r="C2010" t="s">
        <v>602</v>
      </c>
      <c r="D2010" t="s">
        <v>603</v>
      </c>
      <c r="E2010" t="s">
        <v>3604</v>
      </c>
      <c r="G2010">
        <v>222181</v>
      </c>
    </row>
    <row r="2011" spans="1:7" x14ac:dyDescent="0.35">
      <c r="A2011">
        <v>103958</v>
      </c>
      <c r="B2011">
        <v>1821</v>
      </c>
      <c r="C2011" t="s">
        <v>597</v>
      </c>
      <c r="D2011" t="s">
        <v>882</v>
      </c>
      <c r="E2011" t="s">
        <v>3605</v>
      </c>
    </row>
    <row r="2012" spans="1:7" x14ac:dyDescent="0.35">
      <c r="A2012">
        <v>104037</v>
      </c>
      <c r="B2012">
        <v>875</v>
      </c>
      <c r="C2012" t="s">
        <v>597</v>
      </c>
      <c r="D2012" t="s">
        <v>742</v>
      </c>
      <c r="E2012" t="s">
        <v>3606</v>
      </c>
      <c r="F2012">
        <v>380</v>
      </c>
      <c r="G2012">
        <v>223274</v>
      </c>
    </row>
    <row r="2013" spans="1:7" x14ac:dyDescent="0.35">
      <c r="A2013">
        <v>103763</v>
      </c>
      <c r="B2013">
        <v>691</v>
      </c>
      <c r="C2013" t="s">
        <v>597</v>
      </c>
      <c r="D2013" t="s">
        <v>742</v>
      </c>
      <c r="E2013" t="s">
        <v>3607</v>
      </c>
      <c r="F2013">
        <v>514</v>
      </c>
      <c r="G2013">
        <v>22692</v>
      </c>
    </row>
    <row r="2014" spans="1:7" x14ac:dyDescent="0.35">
      <c r="A2014">
        <v>103759</v>
      </c>
      <c r="B2014">
        <v>881</v>
      </c>
      <c r="C2014" t="s">
        <v>597</v>
      </c>
      <c r="D2014" t="s">
        <v>742</v>
      </c>
      <c r="E2014" t="s">
        <v>3608</v>
      </c>
      <c r="F2014">
        <v>170</v>
      </c>
    </row>
    <row r="2015" spans="1:7" x14ac:dyDescent="0.35">
      <c r="A2015">
        <v>104376</v>
      </c>
      <c r="B2015">
        <v>3174</v>
      </c>
      <c r="C2015" t="s">
        <v>602</v>
      </c>
      <c r="D2015" t="s">
        <v>603</v>
      </c>
      <c r="E2015" t="s">
        <v>3609</v>
      </c>
      <c r="G2015">
        <v>2862</v>
      </c>
    </row>
    <row r="2016" spans="1:7" x14ac:dyDescent="0.35">
      <c r="A2016">
        <v>102733</v>
      </c>
      <c r="B2016">
        <v>2451</v>
      </c>
      <c r="C2016" t="s">
        <v>602</v>
      </c>
      <c r="D2016" t="s">
        <v>603</v>
      </c>
      <c r="E2016" t="s">
        <v>3610</v>
      </c>
      <c r="G2016">
        <v>220152</v>
      </c>
    </row>
    <row r="2017" spans="1:11" x14ac:dyDescent="0.35">
      <c r="A2017">
        <v>103551</v>
      </c>
      <c r="B2017">
        <v>839</v>
      </c>
      <c r="C2017" t="s">
        <v>597</v>
      </c>
      <c r="D2017" t="s">
        <v>742</v>
      </c>
      <c r="E2017" t="s">
        <v>3611</v>
      </c>
      <c r="F2017">
        <v>521</v>
      </c>
    </row>
    <row r="2018" spans="1:11" x14ac:dyDescent="0.35">
      <c r="A2018">
        <v>0</v>
      </c>
      <c r="B2018">
        <v>3511</v>
      </c>
      <c r="C2018" t="s">
        <v>602</v>
      </c>
      <c r="D2018" t="s">
        <v>1243</v>
      </c>
      <c r="E2018" t="s">
        <v>3612</v>
      </c>
      <c r="F2018">
        <v>21</v>
      </c>
      <c r="G2018">
        <v>0</v>
      </c>
      <c r="K2018" t="s">
        <v>2796</v>
      </c>
    </row>
    <row r="2019" spans="1:11" x14ac:dyDescent="0.35">
      <c r="A2019">
        <v>101754</v>
      </c>
      <c r="B2019">
        <v>632</v>
      </c>
      <c r="C2019" t="s">
        <v>597</v>
      </c>
      <c r="D2019" t="s">
        <v>742</v>
      </c>
      <c r="E2019" t="s">
        <v>3613</v>
      </c>
      <c r="F2019">
        <v>200</v>
      </c>
      <c r="G2019">
        <v>219398</v>
      </c>
    </row>
    <row r="2020" spans="1:11" x14ac:dyDescent="0.35">
      <c r="A2020">
        <v>104291</v>
      </c>
      <c r="B2020">
        <v>597</v>
      </c>
      <c r="C2020" t="s">
        <v>597</v>
      </c>
      <c r="D2020" t="s">
        <v>742</v>
      </c>
      <c r="E2020" t="s">
        <v>3614</v>
      </c>
      <c r="G2020">
        <v>227715</v>
      </c>
    </row>
    <row r="2021" spans="1:11" x14ac:dyDescent="0.35">
      <c r="A2021">
        <v>102237</v>
      </c>
      <c r="B2021">
        <v>2371</v>
      </c>
      <c r="C2021" t="s">
        <v>597</v>
      </c>
      <c r="D2021" t="s">
        <v>603</v>
      </c>
      <c r="E2021" t="s">
        <v>3615</v>
      </c>
    </row>
    <row r="2022" spans="1:11" x14ac:dyDescent="0.35">
      <c r="A2022">
        <v>103554</v>
      </c>
      <c r="B2022">
        <v>900</v>
      </c>
      <c r="C2022" t="s">
        <v>597</v>
      </c>
      <c r="D2022" t="s">
        <v>742</v>
      </c>
      <c r="E2022" t="s">
        <v>3616</v>
      </c>
      <c r="F2022">
        <v>535</v>
      </c>
      <c r="G2022">
        <v>222641</v>
      </c>
    </row>
    <row r="2023" spans="1:11" x14ac:dyDescent="0.35">
      <c r="A2023">
        <v>101683</v>
      </c>
      <c r="B2023">
        <v>1308</v>
      </c>
      <c r="C2023" t="s">
        <v>597</v>
      </c>
      <c r="D2023" t="s">
        <v>3417</v>
      </c>
      <c r="E2023" t="s">
        <v>3617</v>
      </c>
      <c r="G2023">
        <v>219889</v>
      </c>
    </row>
    <row r="2024" spans="1:11" x14ac:dyDescent="0.35">
      <c r="A2024">
        <v>102804</v>
      </c>
      <c r="B2024">
        <v>2471</v>
      </c>
      <c r="C2024" t="s">
        <v>597</v>
      </c>
      <c r="D2024" t="s">
        <v>603</v>
      </c>
      <c r="E2024" t="s">
        <v>3618</v>
      </c>
      <c r="G2024">
        <v>221703</v>
      </c>
    </row>
    <row r="2025" spans="1:11" x14ac:dyDescent="0.35">
      <c r="A2025">
        <v>102532</v>
      </c>
      <c r="B2025">
        <v>2422</v>
      </c>
      <c r="C2025" t="s">
        <v>597</v>
      </c>
      <c r="D2025" t="s">
        <v>603</v>
      </c>
      <c r="E2025" t="s">
        <v>3619</v>
      </c>
      <c r="G2025">
        <v>221040</v>
      </c>
    </row>
    <row r="2026" spans="1:11" x14ac:dyDescent="0.35">
      <c r="A2026">
        <v>103893</v>
      </c>
      <c r="B2026">
        <v>2582</v>
      </c>
      <c r="C2026" t="s">
        <v>597</v>
      </c>
      <c r="D2026" t="s">
        <v>603</v>
      </c>
      <c r="E2026" t="s">
        <v>3620</v>
      </c>
    </row>
    <row r="2027" spans="1:11" x14ac:dyDescent="0.35">
      <c r="A2027">
        <v>101985</v>
      </c>
      <c r="B2027">
        <v>719</v>
      </c>
      <c r="C2027" t="s">
        <v>597</v>
      </c>
      <c r="D2027" t="s">
        <v>742</v>
      </c>
      <c r="E2027" t="s">
        <v>3621</v>
      </c>
      <c r="F2027">
        <v>474</v>
      </c>
      <c r="G2027">
        <v>1370</v>
      </c>
    </row>
    <row r="2028" spans="1:11" x14ac:dyDescent="0.35">
      <c r="A2028">
        <v>103731</v>
      </c>
      <c r="B2028">
        <v>2563</v>
      </c>
      <c r="C2028" t="s">
        <v>597</v>
      </c>
      <c r="D2028" t="s">
        <v>603</v>
      </c>
      <c r="E2028" t="s">
        <v>3622</v>
      </c>
      <c r="F2028">
        <v>615310</v>
      </c>
      <c r="G2028">
        <v>2322</v>
      </c>
    </row>
    <row r="2029" spans="1:11" x14ac:dyDescent="0.35">
      <c r="A2029">
        <v>103736</v>
      </c>
      <c r="B2029">
        <v>937</v>
      </c>
      <c r="C2029" t="s">
        <v>597</v>
      </c>
      <c r="D2029" t="s">
        <v>742</v>
      </c>
      <c r="E2029" t="s">
        <v>3623</v>
      </c>
      <c r="F2029">
        <v>525</v>
      </c>
      <c r="G2029">
        <v>223133</v>
      </c>
    </row>
    <row r="2030" spans="1:11" x14ac:dyDescent="0.35">
      <c r="A2030">
        <v>101209</v>
      </c>
      <c r="B2030">
        <v>2252</v>
      </c>
      <c r="C2030" t="s">
        <v>602</v>
      </c>
      <c r="D2030" t="s">
        <v>603</v>
      </c>
      <c r="E2030" t="s">
        <v>3624</v>
      </c>
      <c r="G2030">
        <v>1474</v>
      </c>
    </row>
    <row r="2031" spans="1:11" x14ac:dyDescent="0.35">
      <c r="A2031">
        <v>103500</v>
      </c>
      <c r="B2031">
        <v>1617</v>
      </c>
      <c r="C2031" t="s">
        <v>597</v>
      </c>
      <c r="D2031" t="s">
        <v>1066</v>
      </c>
      <c r="E2031" t="s">
        <v>3625</v>
      </c>
    </row>
    <row r="2032" spans="1:11" x14ac:dyDescent="0.35">
      <c r="A2032">
        <v>101858</v>
      </c>
      <c r="B2032">
        <v>2305</v>
      </c>
      <c r="C2032" t="s">
        <v>602</v>
      </c>
      <c r="D2032" t="s">
        <v>603</v>
      </c>
      <c r="E2032" t="s">
        <v>185</v>
      </c>
      <c r="F2032">
        <v>225446</v>
      </c>
      <c r="G2032">
        <v>3263</v>
      </c>
    </row>
    <row r="2033" spans="1:7" x14ac:dyDescent="0.35">
      <c r="A2033">
        <v>103909</v>
      </c>
      <c r="B2033">
        <v>1776</v>
      </c>
      <c r="C2033" t="s">
        <v>597</v>
      </c>
      <c r="D2033" t="s">
        <v>882</v>
      </c>
      <c r="E2033" t="s">
        <v>3626</v>
      </c>
    </row>
    <row r="2034" spans="1:7" x14ac:dyDescent="0.35">
      <c r="A2034">
        <v>103981</v>
      </c>
      <c r="B2034">
        <v>910</v>
      </c>
      <c r="C2034" t="s">
        <v>597</v>
      </c>
      <c r="D2034" t="s">
        <v>742</v>
      </c>
      <c r="E2034" t="s">
        <v>3627</v>
      </c>
      <c r="F2034">
        <v>194</v>
      </c>
    </row>
    <row r="2035" spans="1:7" x14ac:dyDescent="0.35">
      <c r="A2035">
        <v>102471</v>
      </c>
      <c r="B2035">
        <v>831</v>
      </c>
      <c r="C2035" t="s">
        <v>597</v>
      </c>
      <c r="D2035" t="s">
        <v>742</v>
      </c>
      <c r="E2035" t="s">
        <v>3628</v>
      </c>
      <c r="F2035">
        <v>264</v>
      </c>
      <c r="G2035">
        <v>219618</v>
      </c>
    </row>
    <row r="2036" spans="1:7" x14ac:dyDescent="0.35">
      <c r="A2036">
        <v>103968</v>
      </c>
      <c r="B2036">
        <v>1831</v>
      </c>
      <c r="C2036" t="s">
        <v>597</v>
      </c>
      <c r="D2036" t="s">
        <v>882</v>
      </c>
      <c r="E2036" t="s">
        <v>3629</v>
      </c>
      <c r="G2036">
        <v>226046</v>
      </c>
    </row>
    <row r="2037" spans="1:7" x14ac:dyDescent="0.35">
      <c r="A2037">
        <v>102012</v>
      </c>
      <c r="B2037">
        <v>2341</v>
      </c>
      <c r="C2037" t="s">
        <v>597</v>
      </c>
      <c r="D2037" t="s">
        <v>603</v>
      </c>
      <c r="E2037" t="s">
        <v>3630</v>
      </c>
      <c r="F2037">
        <v>615301</v>
      </c>
      <c r="G2037">
        <v>509</v>
      </c>
    </row>
    <row r="2038" spans="1:7" x14ac:dyDescent="0.35">
      <c r="A2038">
        <v>101024</v>
      </c>
      <c r="B2038">
        <v>2231</v>
      </c>
      <c r="C2038" t="s">
        <v>602</v>
      </c>
      <c r="D2038" t="s">
        <v>603</v>
      </c>
      <c r="E2038" t="s">
        <v>137</v>
      </c>
      <c r="G2038">
        <v>614</v>
      </c>
    </row>
    <row r="2039" spans="1:7" x14ac:dyDescent="0.35">
      <c r="A2039">
        <v>104071</v>
      </c>
      <c r="B2039">
        <v>722</v>
      </c>
      <c r="C2039" t="s">
        <v>597</v>
      </c>
      <c r="D2039" t="s">
        <v>742</v>
      </c>
      <c r="E2039" t="s">
        <v>3631</v>
      </c>
      <c r="F2039">
        <v>378</v>
      </c>
    </row>
    <row r="2040" spans="1:7" x14ac:dyDescent="0.35">
      <c r="A2040">
        <v>103364</v>
      </c>
      <c r="B2040">
        <v>1525</v>
      </c>
      <c r="C2040" t="s">
        <v>597</v>
      </c>
      <c r="D2040" t="s">
        <v>1066</v>
      </c>
      <c r="E2040" t="s">
        <v>3632</v>
      </c>
    </row>
    <row r="2041" spans="1:7" x14ac:dyDescent="0.35">
      <c r="A2041">
        <v>103135</v>
      </c>
      <c r="B2041">
        <v>2494</v>
      </c>
      <c r="C2041" t="s">
        <v>597</v>
      </c>
      <c r="D2041" t="s">
        <v>603</v>
      </c>
      <c r="E2041" t="s">
        <v>3633</v>
      </c>
      <c r="G2041">
        <v>218420</v>
      </c>
    </row>
    <row r="2042" spans="1:7" x14ac:dyDescent="0.35">
      <c r="A2042">
        <v>104113</v>
      </c>
      <c r="B2042">
        <v>656</v>
      </c>
      <c r="C2042" t="s">
        <v>597</v>
      </c>
      <c r="D2042" t="s">
        <v>742</v>
      </c>
      <c r="E2042" t="s">
        <v>3634</v>
      </c>
      <c r="F2042">
        <v>612</v>
      </c>
      <c r="G2042">
        <v>226326</v>
      </c>
    </row>
    <row r="2043" spans="1:7" x14ac:dyDescent="0.35">
      <c r="A2043">
        <v>103711</v>
      </c>
      <c r="B2043">
        <v>2559</v>
      </c>
      <c r="C2043" t="s">
        <v>602</v>
      </c>
      <c r="D2043" t="s">
        <v>603</v>
      </c>
      <c r="E2043" t="s">
        <v>461</v>
      </c>
      <c r="G2043">
        <v>223212</v>
      </c>
    </row>
    <row r="2044" spans="1:7" x14ac:dyDescent="0.35">
      <c r="A2044">
        <v>104108</v>
      </c>
      <c r="B2044">
        <v>865</v>
      </c>
      <c r="C2044" t="s">
        <v>597</v>
      </c>
      <c r="D2044" t="s">
        <v>742</v>
      </c>
      <c r="E2044" t="s">
        <v>3635</v>
      </c>
      <c r="F2044">
        <v>454</v>
      </c>
      <c r="G2044">
        <v>226362</v>
      </c>
    </row>
    <row r="2045" spans="1:7" x14ac:dyDescent="0.35">
      <c r="A2045">
        <v>0</v>
      </c>
      <c r="B2045">
        <v>2669</v>
      </c>
      <c r="C2045" t="s">
        <v>602</v>
      </c>
      <c r="D2045" t="s">
        <v>3408</v>
      </c>
      <c r="E2045" t="s">
        <v>3636</v>
      </c>
    </row>
    <row r="2046" spans="1:7" x14ac:dyDescent="0.35">
      <c r="A2046">
        <v>104097</v>
      </c>
      <c r="B2046">
        <v>721</v>
      </c>
      <c r="C2046" t="s">
        <v>597</v>
      </c>
      <c r="D2046" t="s">
        <v>742</v>
      </c>
      <c r="E2046" t="s">
        <v>3637</v>
      </c>
      <c r="F2046">
        <v>390</v>
      </c>
    </row>
    <row r="2047" spans="1:7" x14ac:dyDescent="0.35">
      <c r="A2047">
        <v>104128</v>
      </c>
      <c r="B2047">
        <v>723</v>
      </c>
      <c r="C2047" t="s">
        <v>597</v>
      </c>
      <c r="D2047" t="s">
        <v>742</v>
      </c>
      <c r="E2047" t="s">
        <v>3638</v>
      </c>
      <c r="F2047">
        <v>228</v>
      </c>
    </row>
    <row r="2048" spans="1:7" x14ac:dyDescent="0.35">
      <c r="A2048">
        <v>103979</v>
      </c>
      <c r="B2048">
        <v>826</v>
      </c>
      <c r="C2048" t="s">
        <v>597</v>
      </c>
      <c r="D2048" t="s">
        <v>742</v>
      </c>
      <c r="E2048" t="s">
        <v>3639</v>
      </c>
      <c r="F2048">
        <v>600</v>
      </c>
    </row>
    <row r="2049" spans="1:12" x14ac:dyDescent="0.35">
      <c r="A2049">
        <v>103795</v>
      </c>
      <c r="B2049">
        <v>2577</v>
      </c>
      <c r="C2049" t="s">
        <v>597</v>
      </c>
      <c r="D2049" t="s">
        <v>603</v>
      </c>
      <c r="E2049" t="s">
        <v>3640</v>
      </c>
      <c r="G2049">
        <v>218045</v>
      </c>
    </row>
    <row r="2050" spans="1:12" x14ac:dyDescent="0.35">
      <c r="A2050">
        <v>103756</v>
      </c>
      <c r="B2050">
        <v>817</v>
      </c>
      <c r="C2050" t="s">
        <v>597</v>
      </c>
      <c r="D2050" t="s">
        <v>742</v>
      </c>
      <c r="E2050" t="s">
        <v>3641</v>
      </c>
      <c r="F2050">
        <v>167</v>
      </c>
    </row>
    <row r="2051" spans="1:12" x14ac:dyDescent="0.35">
      <c r="A2051">
        <v>101750</v>
      </c>
      <c r="B2051">
        <v>646</v>
      </c>
      <c r="C2051" t="s">
        <v>597</v>
      </c>
      <c r="D2051" t="s">
        <v>742</v>
      </c>
      <c r="E2051" t="s">
        <v>3642</v>
      </c>
      <c r="F2051">
        <v>381</v>
      </c>
      <c r="G2051">
        <v>1132</v>
      </c>
    </row>
    <row r="2052" spans="1:12" x14ac:dyDescent="0.35">
      <c r="A2052">
        <v>101937</v>
      </c>
      <c r="B2052">
        <v>2327</v>
      </c>
      <c r="C2052" t="s">
        <v>597</v>
      </c>
      <c r="D2052" t="s">
        <v>603</v>
      </c>
      <c r="E2052" t="s">
        <v>3643</v>
      </c>
      <c r="G2052">
        <v>22625</v>
      </c>
    </row>
    <row r="2053" spans="1:12" x14ac:dyDescent="0.35">
      <c r="A2053">
        <v>573</v>
      </c>
      <c r="B2053">
        <v>3528</v>
      </c>
      <c r="C2053" t="s">
        <v>602</v>
      </c>
      <c r="E2053" t="s">
        <v>3644</v>
      </c>
      <c r="G2053">
        <v>229613</v>
      </c>
      <c r="L2053" t="s">
        <v>965</v>
      </c>
    </row>
    <row r="2054" spans="1:12" x14ac:dyDescent="0.35">
      <c r="A2054">
        <v>101183</v>
      </c>
      <c r="B2054">
        <v>2247</v>
      </c>
      <c r="C2054" t="s">
        <v>597</v>
      </c>
      <c r="D2054" t="s">
        <v>603</v>
      </c>
      <c r="E2054" t="s">
        <v>3645</v>
      </c>
    </row>
    <row r="2055" spans="1:12" x14ac:dyDescent="0.35">
      <c r="A2055">
        <v>104014</v>
      </c>
      <c r="B2055">
        <v>2600</v>
      </c>
      <c r="C2055" t="s">
        <v>602</v>
      </c>
      <c r="D2055" t="s">
        <v>603</v>
      </c>
      <c r="E2055" t="s">
        <v>3646</v>
      </c>
      <c r="G2055">
        <v>225124</v>
      </c>
    </row>
    <row r="2056" spans="1:12" x14ac:dyDescent="0.35">
      <c r="A2056">
        <v>103304</v>
      </c>
      <c r="B2056">
        <v>1492</v>
      </c>
      <c r="C2056" t="s">
        <v>597</v>
      </c>
      <c r="D2056" t="s">
        <v>1066</v>
      </c>
      <c r="E2056" t="s">
        <v>3647</v>
      </c>
    </row>
    <row r="2057" spans="1:12" x14ac:dyDescent="0.35">
      <c r="A2057">
        <v>102134</v>
      </c>
      <c r="B2057">
        <v>1423</v>
      </c>
      <c r="C2057" t="s">
        <v>597</v>
      </c>
      <c r="D2057" t="s">
        <v>603</v>
      </c>
      <c r="E2057" t="s">
        <v>3648</v>
      </c>
      <c r="F2057">
        <v>702001</v>
      </c>
      <c r="G2057">
        <v>220879</v>
      </c>
    </row>
    <row r="2058" spans="1:12" x14ac:dyDescent="0.35">
      <c r="A2058">
        <v>104083</v>
      </c>
      <c r="B2058">
        <v>785</v>
      </c>
      <c r="C2058" t="s">
        <v>597</v>
      </c>
      <c r="D2058" t="s">
        <v>742</v>
      </c>
      <c r="E2058" t="s">
        <v>3649</v>
      </c>
      <c r="F2058">
        <v>404</v>
      </c>
      <c r="G2058">
        <v>226190</v>
      </c>
    </row>
    <row r="2059" spans="1:12" x14ac:dyDescent="0.35">
      <c r="A2059">
        <v>102155</v>
      </c>
      <c r="B2059">
        <v>2355</v>
      </c>
      <c r="C2059" t="s">
        <v>597</v>
      </c>
      <c r="D2059" t="s">
        <v>603</v>
      </c>
      <c r="E2059" t="s">
        <v>3650</v>
      </c>
      <c r="G2059">
        <v>3112</v>
      </c>
    </row>
    <row r="2060" spans="1:12" x14ac:dyDescent="0.35">
      <c r="A2060">
        <v>103519</v>
      </c>
      <c r="B2060">
        <v>911</v>
      </c>
      <c r="C2060" t="s">
        <v>597</v>
      </c>
      <c r="D2060" t="s">
        <v>742</v>
      </c>
      <c r="E2060" t="s">
        <v>3651</v>
      </c>
      <c r="F2060">
        <v>309</v>
      </c>
      <c r="G2060">
        <v>3093</v>
      </c>
    </row>
    <row r="2061" spans="1:12" x14ac:dyDescent="0.35">
      <c r="A2061">
        <v>103547</v>
      </c>
      <c r="B2061">
        <v>1625</v>
      </c>
      <c r="C2061" t="s">
        <v>597</v>
      </c>
      <c r="D2061" t="s">
        <v>1066</v>
      </c>
      <c r="E2061" t="s">
        <v>3652</v>
      </c>
    </row>
    <row r="2062" spans="1:12" x14ac:dyDescent="0.35">
      <c r="A2062">
        <v>575</v>
      </c>
      <c r="B2062">
        <v>3527</v>
      </c>
      <c r="C2062" t="s">
        <v>602</v>
      </c>
      <c r="E2062" t="s">
        <v>3653</v>
      </c>
      <c r="G2062">
        <v>229646</v>
      </c>
      <c r="L2062" t="s">
        <v>965</v>
      </c>
    </row>
    <row r="2063" spans="1:12" x14ac:dyDescent="0.35">
      <c r="A2063">
        <v>104144</v>
      </c>
      <c r="B2063">
        <v>2218</v>
      </c>
      <c r="C2063" t="s">
        <v>597</v>
      </c>
      <c r="D2063" t="s">
        <v>598</v>
      </c>
      <c r="E2063" t="s">
        <v>3654</v>
      </c>
    </row>
    <row r="2064" spans="1:12" x14ac:dyDescent="0.35">
      <c r="A2064">
        <v>103954</v>
      </c>
      <c r="B2064">
        <v>1817</v>
      </c>
      <c r="C2064" t="s">
        <v>597</v>
      </c>
      <c r="D2064" t="s">
        <v>882</v>
      </c>
      <c r="E2064" t="s">
        <v>3655</v>
      </c>
      <c r="G2064">
        <v>225989</v>
      </c>
    </row>
    <row r="2065" spans="1:7" x14ac:dyDescent="0.35">
      <c r="A2065">
        <v>101318</v>
      </c>
      <c r="B2065">
        <v>687</v>
      </c>
      <c r="C2065" t="s">
        <v>597</v>
      </c>
      <c r="D2065" t="s">
        <v>742</v>
      </c>
      <c r="E2065" t="s">
        <v>3656</v>
      </c>
      <c r="F2065">
        <v>213</v>
      </c>
    </row>
    <row r="2066" spans="1:7" x14ac:dyDescent="0.35">
      <c r="A2066">
        <v>103466</v>
      </c>
      <c r="B2066">
        <v>611</v>
      </c>
      <c r="C2066" t="s">
        <v>597</v>
      </c>
      <c r="D2066" t="s">
        <v>742</v>
      </c>
      <c r="E2066" t="s">
        <v>3657</v>
      </c>
      <c r="F2066">
        <v>403</v>
      </c>
      <c r="G2066">
        <v>1944</v>
      </c>
    </row>
    <row r="2067" spans="1:7" x14ac:dyDescent="0.35">
      <c r="A2067">
        <v>102362</v>
      </c>
      <c r="B2067">
        <v>2395</v>
      </c>
      <c r="C2067" t="s">
        <v>602</v>
      </c>
      <c r="D2067" t="s">
        <v>603</v>
      </c>
      <c r="E2067" t="s">
        <v>3658</v>
      </c>
      <c r="G2067">
        <v>431</v>
      </c>
    </row>
    <row r="2068" spans="1:7" x14ac:dyDescent="0.35">
      <c r="A2068">
        <v>102853</v>
      </c>
      <c r="B2068">
        <v>2474</v>
      </c>
      <c r="C2068" t="s">
        <v>602</v>
      </c>
      <c r="D2068" t="s">
        <v>603</v>
      </c>
      <c r="E2068" t="s">
        <v>513</v>
      </c>
      <c r="G2068">
        <v>227461</v>
      </c>
    </row>
    <row r="2069" spans="1:7" x14ac:dyDescent="0.35">
      <c r="A2069">
        <v>102163</v>
      </c>
      <c r="B2069">
        <v>702</v>
      </c>
      <c r="C2069" t="s">
        <v>597</v>
      </c>
      <c r="D2069" t="s">
        <v>742</v>
      </c>
      <c r="E2069" t="s">
        <v>3659</v>
      </c>
      <c r="F2069">
        <v>389</v>
      </c>
      <c r="G2069">
        <v>20737</v>
      </c>
    </row>
    <row r="2070" spans="1:7" x14ac:dyDescent="0.35">
      <c r="A2070">
        <v>101082</v>
      </c>
      <c r="B2070">
        <v>609</v>
      </c>
      <c r="C2070" t="s">
        <v>597</v>
      </c>
      <c r="D2070" t="s">
        <v>742</v>
      </c>
      <c r="E2070" t="s">
        <v>3660</v>
      </c>
      <c r="F2070">
        <v>291</v>
      </c>
      <c r="G2070">
        <v>218909</v>
      </c>
    </row>
    <row r="2071" spans="1:7" x14ac:dyDescent="0.35">
      <c r="A2071">
        <v>102365</v>
      </c>
      <c r="B2071">
        <v>710</v>
      </c>
      <c r="C2071" t="s">
        <v>597</v>
      </c>
      <c r="D2071" t="s">
        <v>742</v>
      </c>
      <c r="E2071" t="s">
        <v>3661</v>
      </c>
      <c r="F2071">
        <v>343</v>
      </c>
      <c r="G2071">
        <v>1321</v>
      </c>
    </row>
    <row r="2072" spans="1:7" x14ac:dyDescent="0.35">
      <c r="A2072">
        <v>101101</v>
      </c>
      <c r="B2072">
        <v>634</v>
      </c>
      <c r="C2072" t="s">
        <v>597</v>
      </c>
      <c r="D2072" t="s">
        <v>742</v>
      </c>
      <c r="E2072" t="s">
        <v>3662</v>
      </c>
      <c r="F2072">
        <v>275</v>
      </c>
      <c r="G2072">
        <v>20757</v>
      </c>
    </row>
    <row r="2073" spans="1:7" x14ac:dyDescent="0.35">
      <c r="A2073">
        <v>102571</v>
      </c>
      <c r="B2073">
        <v>2428</v>
      </c>
      <c r="C2073" t="s">
        <v>597</v>
      </c>
      <c r="D2073" t="s">
        <v>603</v>
      </c>
      <c r="E2073" t="s">
        <v>3663</v>
      </c>
      <c r="F2073">
        <v>615302</v>
      </c>
      <c r="G2073">
        <v>883</v>
      </c>
    </row>
    <row r="2074" spans="1:7" x14ac:dyDescent="0.35">
      <c r="A2074">
        <v>103530</v>
      </c>
      <c r="B2074">
        <v>940</v>
      </c>
      <c r="C2074" t="s">
        <v>597</v>
      </c>
      <c r="D2074" t="s">
        <v>742</v>
      </c>
      <c r="E2074" t="s">
        <v>3664</v>
      </c>
      <c r="F2074">
        <v>540</v>
      </c>
      <c r="G2074">
        <v>222893</v>
      </c>
    </row>
    <row r="2075" spans="1:7" x14ac:dyDescent="0.35">
      <c r="A2075">
        <v>104017</v>
      </c>
      <c r="B2075">
        <v>640</v>
      </c>
      <c r="C2075" t="s">
        <v>597</v>
      </c>
      <c r="D2075" t="s">
        <v>742</v>
      </c>
      <c r="E2075" t="s">
        <v>3665</v>
      </c>
      <c r="F2075">
        <v>164</v>
      </c>
    </row>
    <row r="2076" spans="1:7" x14ac:dyDescent="0.35">
      <c r="A2076">
        <v>104000</v>
      </c>
      <c r="B2076">
        <v>949</v>
      </c>
      <c r="C2076" t="s">
        <v>597</v>
      </c>
      <c r="D2076" t="s">
        <v>742</v>
      </c>
      <c r="E2076" t="s">
        <v>3666</v>
      </c>
      <c r="F2076">
        <v>338</v>
      </c>
    </row>
    <row r="2077" spans="1:7" x14ac:dyDescent="0.35">
      <c r="A2077">
        <v>103595</v>
      </c>
      <c r="B2077">
        <v>799</v>
      </c>
      <c r="C2077" t="s">
        <v>597</v>
      </c>
      <c r="D2077" t="s">
        <v>742</v>
      </c>
      <c r="E2077" t="s">
        <v>3667</v>
      </c>
      <c r="F2077">
        <v>292</v>
      </c>
      <c r="G2077">
        <v>220380</v>
      </c>
    </row>
    <row r="2078" spans="1:7" x14ac:dyDescent="0.35">
      <c r="A2078">
        <v>102384</v>
      </c>
      <c r="B2078">
        <v>2397</v>
      </c>
      <c r="C2078" t="s">
        <v>597</v>
      </c>
      <c r="D2078" t="s">
        <v>603</v>
      </c>
      <c r="E2078" t="s">
        <v>3668</v>
      </c>
      <c r="G2078">
        <v>220712</v>
      </c>
    </row>
    <row r="2079" spans="1:7" x14ac:dyDescent="0.35">
      <c r="A2079">
        <v>103913</v>
      </c>
      <c r="B2079">
        <v>1780</v>
      </c>
      <c r="C2079" t="s">
        <v>597</v>
      </c>
      <c r="D2079" t="s">
        <v>882</v>
      </c>
      <c r="E2079" t="s">
        <v>3669</v>
      </c>
      <c r="G2079">
        <v>225364</v>
      </c>
    </row>
    <row r="2080" spans="1:7" x14ac:dyDescent="0.35">
      <c r="A2080">
        <v>102367</v>
      </c>
      <c r="B2080">
        <v>778</v>
      </c>
      <c r="C2080" t="s">
        <v>597</v>
      </c>
      <c r="D2080" t="s">
        <v>742</v>
      </c>
      <c r="E2080" t="s">
        <v>3670</v>
      </c>
      <c r="F2080">
        <v>460</v>
      </c>
    </row>
    <row r="2081" spans="1:12" x14ac:dyDescent="0.35">
      <c r="A2081">
        <v>104099</v>
      </c>
      <c r="B2081">
        <v>688</v>
      </c>
      <c r="C2081" t="s">
        <v>597</v>
      </c>
      <c r="D2081" t="s">
        <v>742</v>
      </c>
      <c r="E2081" t="s">
        <v>3671</v>
      </c>
      <c r="F2081">
        <v>320</v>
      </c>
    </row>
    <row r="2082" spans="1:12" x14ac:dyDescent="0.35">
      <c r="A2082">
        <v>0</v>
      </c>
      <c r="B2082">
        <v>3385</v>
      </c>
      <c r="C2082" t="s">
        <v>602</v>
      </c>
      <c r="D2082" t="s">
        <v>2470</v>
      </c>
      <c r="E2082" t="s">
        <v>3672</v>
      </c>
      <c r="G2082">
        <v>0</v>
      </c>
    </row>
    <row r="2083" spans="1:12" x14ac:dyDescent="0.35">
      <c r="A2083">
        <v>102276</v>
      </c>
      <c r="B2083">
        <v>2377</v>
      </c>
      <c r="C2083" t="s">
        <v>602</v>
      </c>
      <c r="D2083" t="s">
        <v>603</v>
      </c>
      <c r="E2083" t="s">
        <v>453</v>
      </c>
      <c r="G2083">
        <v>23028</v>
      </c>
    </row>
    <row r="2084" spans="1:12" x14ac:dyDescent="0.35">
      <c r="A2084">
        <v>104045</v>
      </c>
      <c r="B2084">
        <v>945</v>
      </c>
      <c r="C2084" t="s">
        <v>597</v>
      </c>
      <c r="D2084" t="s">
        <v>742</v>
      </c>
      <c r="E2084" t="s">
        <v>3673</v>
      </c>
      <c r="F2084">
        <v>603</v>
      </c>
    </row>
    <row r="2085" spans="1:12" x14ac:dyDescent="0.35">
      <c r="A2085">
        <v>103264</v>
      </c>
      <c r="B2085">
        <v>2512</v>
      </c>
      <c r="C2085" t="s">
        <v>602</v>
      </c>
      <c r="D2085" t="s">
        <v>603</v>
      </c>
      <c r="E2085" t="s">
        <v>3674</v>
      </c>
      <c r="G2085">
        <v>222369</v>
      </c>
    </row>
    <row r="2086" spans="1:12" x14ac:dyDescent="0.35">
      <c r="A2086">
        <v>103708</v>
      </c>
      <c r="B2086">
        <v>717</v>
      </c>
      <c r="C2086" t="s">
        <v>597</v>
      </c>
      <c r="D2086" t="s">
        <v>742</v>
      </c>
      <c r="E2086" t="s">
        <v>3675</v>
      </c>
      <c r="F2086">
        <v>426</v>
      </c>
    </row>
    <row r="2087" spans="1:12" x14ac:dyDescent="0.35">
      <c r="A2087">
        <v>103585</v>
      </c>
      <c r="B2087">
        <v>2541</v>
      </c>
      <c r="C2087" t="s">
        <v>602</v>
      </c>
      <c r="D2087" t="s">
        <v>603</v>
      </c>
      <c r="E2087" t="s">
        <v>3676</v>
      </c>
      <c r="G2087">
        <v>222993</v>
      </c>
    </row>
    <row r="2088" spans="1:12" x14ac:dyDescent="0.35">
      <c r="A2088">
        <v>103599</v>
      </c>
      <c r="B2088">
        <v>2548</v>
      </c>
      <c r="C2088" t="s">
        <v>602</v>
      </c>
      <c r="D2088" t="s">
        <v>603</v>
      </c>
      <c r="E2088" t="s">
        <v>433</v>
      </c>
      <c r="G2088">
        <v>23186</v>
      </c>
    </row>
    <row r="2089" spans="1:12" x14ac:dyDescent="0.35">
      <c r="A2089">
        <v>104340</v>
      </c>
      <c r="B2089">
        <v>2661</v>
      </c>
      <c r="C2089" t="s">
        <v>597</v>
      </c>
      <c r="D2089" t="s">
        <v>603</v>
      </c>
      <c r="E2089" t="s">
        <v>3677</v>
      </c>
      <c r="F2089">
        <v>615317</v>
      </c>
      <c r="G2089">
        <v>228665</v>
      </c>
    </row>
    <row r="2090" spans="1:12" x14ac:dyDescent="0.35">
      <c r="A2090">
        <v>577</v>
      </c>
      <c r="B2090">
        <v>3526</v>
      </c>
      <c r="C2090" t="s">
        <v>602</v>
      </c>
      <c r="E2090" t="s">
        <v>3678</v>
      </c>
      <c r="G2090">
        <v>229661</v>
      </c>
      <c r="L2090" t="s">
        <v>965</v>
      </c>
    </row>
    <row r="2091" spans="1:12" x14ac:dyDescent="0.35">
      <c r="A2091">
        <v>102990</v>
      </c>
      <c r="B2091">
        <v>2137</v>
      </c>
      <c r="C2091" t="s">
        <v>597</v>
      </c>
      <c r="D2091" t="s">
        <v>603</v>
      </c>
      <c r="E2091" t="s">
        <v>3679</v>
      </c>
      <c r="G2091">
        <v>227420</v>
      </c>
    </row>
    <row r="2092" spans="1:12" x14ac:dyDescent="0.35">
      <c r="A2092">
        <v>101987</v>
      </c>
      <c r="B2092">
        <v>2335</v>
      </c>
      <c r="C2092" t="s">
        <v>597</v>
      </c>
      <c r="D2092" t="s">
        <v>603</v>
      </c>
      <c r="E2092" t="s">
        <v>3680</v>
      </c>
      <c r="G2092">
        <v>413</v>
      </c>
    </row>
    <row r="2093" spans="1:12" x14ac:dyDescent="0.35">
      <c r="A2093">
        <v>104277</v>
      </c>
      <c r="B2093">
        <v>603</v>
      </c>
      <c r="C2093" t="s">
        <v>597</v>
      </c>
      <c r="D2093" t="s">
        <v>742</v>
      </c>
      <c r="E2093" t="s">
        <v>3681</v>
      </c>
      <c r="F2093">
        <v>640</v>
      </c>
      <c r="G2093">
        <v>227646</v>
      </c>
    </row>
    <row r="2094" spans="1:12" x14ac:dyDescent="0.35">
      <c r="A2094">
        <v>104488</v>
      </c>
      <c r="B2094">
        <v>3525</v>
      </c>
      <c r="C2094" t="s">
        <v>1308</v>
      </c>
      <c r="D2094" t="s">
        <v>1066</v>
      </c>
      <c r="E2094" t="s">
        <v>3682</v>
      </c>
      <c r="F2094">
        <v>7494</v>
      </c>
      <c r="G2094">
        <v>229660</v>
      </c>
      <c r="H2094" t="s">
        <v>964</v>
      </c>
      <c r="L2094" t="s">
        <v>965</v>
      </c>
    </row>
    <row r="2095" spans="1:12" x14ac:dyDescent="0.35">
      <c r="A2095">
        <v>102213</v>
      </c>
      <c r="B2095">
        <v>2366</v>
      </c>
      <c r="C2095" t="s">
        <v>597</v>
      </c>
      <c r="D2095" t="s">
        <v>603</v>
      </c>
      <c r="E2095" t="s">
        <v>3683</v>
      </c>
      <c r="G2095">
        <v>22228</v>
      </c>
    </row>
    <row r="2096" spans="1:12" x14ac:dyDescent="0.35">
      <c r="A2096">
        <v>103323</v>
      </c>
      <c r="B2096">
        <v>1502</v>
      </c>
      <c r="C2096" t="s">
        <v>597</v>
      </c>
      <c r="D2096" t="s">
        <v>1066</v>
      </c>
      <c r="E2096" t="s">
        <v>3684</v>
      </c>
    </row>
    <row r="2097" spans="1:7" x14ac:dyDescent="0.35">
      <c r="A2097">
        <v>104075</v>
      </c>
      <c r="B2097">
        <v>2607</v>
      </c>
      <c r="C2097" t="s">
        <v>602</v>
      </c>
      <c r="D2097" t="s">
        <v>603</v>
      </c>
      <c r="E2097" t="s">
        <v>3685</v>
      </c>
      <c r="G2097">
        <v>229095</v>
      </c>
    </row>
    <row r="2098" spans="1:7" x14ac:dyDescent="0.35">
      <c r="A2098">
        <v>102080</v>
      </c>
      <c r="B2098">
        <v>2348</v>
      </c>
      <c r="C2098" t="s">
        <v>602</v>
      </c>
      <c r="D2098" t="s">
        <v>603</v>
      </c>
      <c r="E2098" t="s">
        <v>205</v>
      </c>
      <c r="G2098">
        <v>218779</v>
      </c>
    </row>
    <row r="2099" spans="1:7" x14ac:dyDescent="0.35">
      <c r="A2099">
        <v>104145</v>
      </c>
      <c r="B2099">
        <v>2615</v>
      </c>
      <c r="C2099" t="s">
        <v>597</v>
      </c>
      <c r="D2099" t="s">
        <v>603</v>
      </c>
      <c r="E2099" t="s">
        <v>3686</v>
      </c>
      <c r="G2099">
        <v>226548</v>
      </c>
    </row>
    <row r="2100" spans="1:7" x14ac:dyDescent="0.35">
      <c r="A2100">
        <v>110666</v>
      </c>
      <c r="B2100">
        <v>2647</v>
      </c>
      <c r="C2100" t="s">
        <v>602</v>
      </c>
      <c r="D2100" t="s">
        <v>603</v>
      </c>
      <c r="E2100" t="s">
        <v>3687</v>
      </c>
    </row>
    <row r="2101" spans="1:7" x14ac:dyDescent="0.35">
      <c r="A2101">
        <v>103713</v>
      </c>
      <c r="B2101">
        <v>789</v>
      </c>
      <c r="C2101" t="s">
        <v>597</v>
      </c>
      <c r="D2101" t="s">
        <v>742</v>
      </c>
      <c r="E2101" t="s">
        <v>3688</v>
      </c>
      <c r="F2101">
        <v>575</v>
      </c>
      <c r="G2101">
        <v>220426</v>
      </c>
    </row>
    <row r="2102" spans="1:7" x14ac:dyDescent="0.35">
      <c r="A2102">
        <v>103197</v>
      </c>
      <c r="B2102">
        <v>2502</v>
      </c>
      <c r="C2102" t="s">
        <v>602</v>
      </c>
      <c r="D2102" t="s">
        <v>603</v>
      </c>
      <c r="E2102" t="s">
        <v>145</v>
      </c>
      <c r="G2102">
        <v>2793</v>
      </c>
    </row>
    <row r="2103" spans="1:7" x14ac:dyDescent="0.35">
      <c r="A2103">
        <v>101176</v>
      </c>
      <c r="B2103">
        <v>780</v>
      </c>
      <c r="C2103" t="s">
        <v>597</v>
      </c>
      <c r="D2103" t="s">
        <v>742</v>
      </c>
      <c r="E2103" t="s">
        <v>3689</v>
      </c>
      <c r="F2103">
        <v>341</v>
      </c>
    </row>
    <row r="2104" spans="1:7" x14ac:dyDescent="0.35">
      <c r="A2104">
        <v>103928</v>
      </c>
      <c r="B2104">
        <v>1792</v>
      </c>
      <c r="C2104" t="s">
        <v>597</v>
      </c>
      <c r="D2104" t="s">
        <v>882</v>
      </c>
      <c r="E2104" t="s">
        <v>3690</v>
      </c>
      <c r="G2104">
        <v>225435</v>
      </c>
    </row>
    <row r="2105" spans="1:7" x14ac:dyDescent="0.35">
      <c r="A2105">
        <v>103678</v>
      </c>
      <c r="B2105">
        <v>739</v>
      </c>
      <c r="C2105" t="s">
        <v>597</v>
      </c>
      <c r="D2105" t="s">
        <v>742</v>
      </c>
      <c r="E2105" t="s">
        <v>3691</v>
      </c>
      <c r="F2105">
        <v>571</v>
      </c>
      <c r="G2105">
        <v>220311</v>
      </c>
    </row>
    <row r="2106" spans="1:7" x14ac:dyDescent="0.35">
      <c r="A2106">
        <v>103610</v>
      </c>
      <c r="B2106">
        <v>746</v>
      </c>
      <c r="C2106" t="s">
        <v>597</v>
      </c>
      <c r="D2106" t="s">
        <v>742</v>
      </c>
      <c r="E2106" t="s">
        <v>3692</v>
      </c>
      <c r="F2106">
        <v>286</v>
      </c>
    </row>
    <row r="2107" spans="1:7" x14ac:dyDescent="0.35">
      <c r="A2107">
        <v>101301</v>
      </c>
      <c r="B2107">
        <v>714</v>
      </c>
      <c r="C2107" t="s">
        <v>597</v>
      </c>
      <c r="D2107" t="s">
        <v>742</v>
      </c>
      <c r="E2107" t="s">
        <v>3693</v>
      </c>
      <c r="F2107">
        <v>302</v>
      </c>
      <c r="G2107">
        <v>1351</v>
      </c>
    </row>
    <row r="2108" spans="1:7" x14ac:dyDescent="0.35">
      <c r="A2108">
        <v>103900</v>
      </c>
      <c r="B2108">
        <v>657</v>
      </c>
      <c r="C2108" t="s">
        <v>597</v>
      </c>
      <c r="D2108" t="s">
        <v>742</v>
      </c>
      <c r="E2108" t="s">
        <v>3694</v>
      </c>
      <c r="F2108">
        <v>599</v>
      </c>
      <c r="G2108">
        <v>225357</v>
      </c>
    </row>
    <row r="2109" spans="1:7" x14ac:dyDescent="0.35">
      <c r="A2109">
        <v>103735</v>
      </c>
      <c r="B2109">
        <v>767</v>
      </c>
      <c r="C2109" t="s">
        <v>597</v>
      </c>
      <c r="D2109" t="s">
        <v>742</v>
      </c>
      <c r="E2109" t="s">
        <v>3695</v>
      </c>
      <c r="F2109">
        <v>434</v>
      </c>
      <c r="G2109">
        <v>223132</v>
      </c>
    </row>
    <row r="2110" spans="1:7" x14ac:dyDescent="0.35">
      <c r="A2110">
        <v>104143</v>
      </c>
      <c r="B2110">
        <v>662</v>
      </c>
      <c r="C2110" t="s">
        <v>597</v>
      </c>
      <c r="D2110" t="s">
        <v>742</v>
      </c>
      <c r="E2110" t="s">
        <v>3696</v>
      </c>
      <c r="F2110">
        <v>617</v>
      </c>
      <c r="G2110">
        <v>226480</v>
      </c>
    </row>
    <row r="2111" spans="1:7" x14ac:dyDescent="0.35">
      <c r="A2111">
        <v>104264</v>
      </c>
      <c r="B2111">
        <v>2632</v>
      </c>
      <c r="C2111" t="s">
        <v>602</v>
      </c>
      <c r="D2111" t="s">
        <v>603</v>
      </c>
      <c r="E2111" t="s">
        <v>3697</v>
      </c>
      <c r="G2111">
        <v>227211</v>
      </c>
    </row>
    <row r="2112" spans="1:7" x14ac:dyDescent="0.35">
      <c r="A2112">
        <v>103563</v>
      </c>
      <c r="B2112">
        <v>762</v>
      </c>
      <c r="C2112" t="s">
        <v>597</v>
      </c>
      <c r="D2112" t="s">
        <v>742</v>
      </c>
      <c r="E2112" t="s">
        <v>3698</v>
      </c>
      <c r="F2112">
        <v>163</v>
      </c>
      <c r="G2112">
        <v>223019</v>
      </c>
    </row>
    <row r="2113" spans="1:12" x14ac:dyDescent="0.35">
      <c r="A2113">
        <v>103558</v>
      </c>
      <c r="B2113">
        <v>882</v>
      </c>
      <c r="C2113" t="s">
        <v>602</v>
      </c>
      <c r="D2113" t="s">
        <v>603</v>
      </c>
      <c r="E2113" t="s">
        <v>367</v>
      </c>
      <c r="G2113">
        <v>227300</v>
      </c>
    </row>
    <row r="2114" spans="1:12" x14ac:dyDescent="0.35">
      <c r="A2114">
        <v>101114</v>
      </c>
      <c r="B2114">
        <v>918</v>
      </c>
      <c r="C2114" t="s">
        <v>597</v>
      </c>
      <c r="D2114" t="s">
        <v>742</v>
      </c>
      <c r="E2114" t="s">
        <v>3699</v>
      </c>
      <c r="F2114">
        <v>223</v>
      </c>
    </row>
    <row r="2115" spans="1:12" x14ac:dyDescent="0.35">
      <c r="A2115">
        <v>102709</v>
      </c>
      <c r="B2115">
        <v>2450</v>
      </c>
      <c r="C2115" t="s">
        <v>602</v>
      </c>
      <c r="D2115" t="s">
        <v>603</v>
      </c>
      <c r="E2115" t="s">
        <v>3700</v>
      </c>
      <c r="F2115">
        <v>272001</v>
      </c>
      <c r="G2115">
        <v>1201</v>
      </c>
    </row>
    <row r="2116" spans="1:12" x14ac:dyDescent="0.35">
      <c r="A2116">
        <v>0</v>
      </c>
      <c r="B2116">
        <v>3524</v>
      </c>
      <c r="C2116" t="s">
        <v>602</v>
      </c>
      <c r="E2116" t="s">
        <v>3701</v>
      </c>
      <c r="G2116">
        <v>229601</v>
      </c>
      <c r="L2116" t="s">
        <v>965</v>
      </c>
    </row>
    <row r="2117" spans="1:12" x14ac:dyDescent="0.35">
      <c r="A2117">
        <v>103555</v>
      </c>
      <c r="B2117">
        <v>813</v>
      </c>
      <c r="C2117" t="s">
        <v>597</v>
      </c>
      <c r="D2117" t="s">
        <v>742</v>
      </c>
      <c r="E2117" t="s">
        <v>3702</v>
      </c>
      <c r="F2117">
        <v>441</v>
      </c>
      <c r="G2117">
        <v>222935</v>
      </c>
    </row>
    <row r="2118" spans="1:12" x14ac:dyDescent="0.35">
      <c r="A2118">
        <v>101843</v>
      </c>
      <c r="B2118">
        <v>648</v>
      </c>
      <c r="C2118" t="s">
        <v>597</v>
      </c>
      <c r="D2118" t="s">
        <v>742</v>
      </c>
      <c r="E2118" t="s">
        <v>3703</v>
      </c>
      <c r="F2118">
        <v>211</v>
      </c>
      <c r="G2118">
        <v>1140</v>
      </c>
    </row>
    <row r="2119" spans="1:12" x14ac:dyDescent="0.35">
      <c r="A2119">
        <v>103728</v>
      </c>
      <c r="B2119">
        <v>636</v>
      </c>
      <c r="C2119" t="s">
        <v>597</v>
      </c>
      <c r="D2119" t="s">
        <v>742</v>
      </c>
      <c r="E2119" t="s">
        <v>3704</v>
      </c>
      <c r="F2119">
        <v>536</v>
      </c>
      <c r="G2119">
        <v>223249</v>
      </c>
    </row>
    <row r="2120" spans="1:12" x14ac:dyDescent="0.35">
      <c r="A2120">
        <v>101687</v>
      </c>
      <c r="B2120">
        <v>1312</v>
      </c>
      <c r="C2120" t="s">
        <v>597</v>
      </c>
      <c r="D2120" t="s">
        <v>3417</v>
      </c>
      <c r="E2120" t="s">
        <v>3705</v>
      </c>
      <c r="G2120">
        <v>219013</v>
      </c>
    </row>
    <row r="2121" spans="1:12" x14ac:dyDescent="0.35">
      <c r="A2121">
        <v>102793</v>
      </c>
      <c r="B2121">
        <v>2467</v>
      </c>
      <c r="C2121" t="s">
        <v>602</v>
      </c>
      <c r="D2121" t="s">
        <v>603</v>
      </c>
      <c r="E2121" t="s">
        <v>3706</v>
      </c>
      <c r="G2121">
        <v>221665</v>
      </c>
    </row>
    <row r="2122" spans="1:12" x14ac:dyDescent="0.35">
      <c r="A2122">
        <v>104323</v>
      </c>
      <c r="B2122">
        <v>2652</v>
      </c>
      <c r="C2122" t="s">
        <v>602</v>
      </c>
      <c r="D2122" t="s">
        <v>603</v>
      </c>
      <c r="E2122" t="s">
        <v>3707</v>
      </c>
      <c r="F2122">
        <v>610307</v>
      </c>
      <c r="G2122">
        <v>228248</v>
      </c>
    </row>
    <row r="2123" spans="1:12" x14ac:dyDescent="0.35">
      <c r="A2123">
        <v>103694</v>
      </c>
      <c r="B2123">
        <v>698</v>
      </c>
      <c r="C2123" t="s">
        <v>597</v>
      </c>
      <c r="D2123" t="s">
        <v>742</v>
      </c>
      <c r="E2123" t="s">
        <v>3708</v>
      </c>
      <c r="F2123">
        <v>572</v>
      </c>
    </row>
    <row r="2124" spans="1:12" x14ac:dyDescent="0.35">
      <c r="A2124">
        <v>103748</v>
      </c>
      <c r="B2124">
        <v>854</v>
      </c>
      <c r="C2124" t="s">
        <v>597</v>
      </c>
      <c r="D2124" t="s">
        <v>742</v>
      </c>
      <c r="E2124" t="s">
        <v>3709</v>
      </c>
      <c r="F2124">
        <v>301</v>
      </c>
    </row>
    <row r="2125" spans="1:12" x14ac:dyDescent="0.35">
      <c r="A2125">
        <v>102212</v>
      </c>
      <c r="B2125">
        <v>2365</v>
      </c>
      <c r="C2125" t="s">
        <v>602</v>
      </c>
      <c r="D2125" t="s">
        <v>603</v>
      </c>
      <c r="E2125" t="s">
        <v>457</v>
      </c>
      <c r="G2125">
        <v>21322</v>
      </c>
    </row>
    <row r="2126" spans="1:12" x14ac:dyDescent="0.35">
      <c r="A2126">
        <v>103545</v>
      </c>
      <c r="B2126">
        <v>800</v>
      </c>
      <c r="C2126" t="s">
        <v>597</v>
      </c>
      <c r="D2126" t="s">
        <v>742</v>
      </c>
      <c r="E2126" t="s">
        <v>3710</v>
      </c>
      <c r="F2126">
        <v>340</v>
      </c>
      <c r="G2126">
        <v>219654</v>
      </c>
    </row>
    <row r="2127" spans="1:12" x14ac:dyDescent="0.35">
      <c r="A2127">
        <v>104374</v>
      </c>
      <c r="B2127">
        <v>3172</v>
      </c>
      <c r="C2127" t="s">
        <v>597</v>
      </c>
      <c r="D2127" t="s">
        <v>603</v>
      </c>
      <c r="E2127" t="s">
        <v>3711</v>
      </c>
      <c r="F2127">
        <v>615319</v>
      </c>
      <c r="G2127">
        <v>229027</v>
      </c>
    </row>
    <row r="2128" spans="1:12" x14ac:dyDescent="0.35">
      <c r="A2128">
        <v>101700</v>
      </c>
      <c r="B2128">
        <v>1324</v>
      </c>
      <c r="C2128" t="s">
        <v>597</v>
      </c>
      <c r="D2128" t="s">
        <v>3417</v>
      </c>
      <c r="E2128" t="s">
        <v>3712</v>
      </c>
      <c r="G2128">
        <v>1051</v>
      </c>
    </row>
    <row r="2129" spans="1:11" x14ac:dyDescent="0.35">
      <c r="A2129">
        <v>103587</v>
      </c>
      <c r="B2129">
        <v>2543</v>
      </c>
      <c r="C2129" t="s">
        <v>597</v>
      </c>
      <c r="D2129" t="s">
        <v>603</v>
      </c>
      <c r="E2129" t="s">
        <v>3713</v>
      </c>
      <c r="G2129">
        <v>222991</v>
      </c>
    </row>
    <row r="2130" spans="1:11" x14ac:dyDescent="0.35">
      <c r="A2130">
        <v>103275</v>
      </c>
      <c r="B2130">
        <v>2513</v>
      </c>
      <c r="C2130" t="s">
        <v>597</v>
      </c>
      <c r="D2130" t="s">
        <v>603</v>
      </c>
      <c r="E2130" t="s">
        <v>3714</v>
      </c>
    </row>
    <row r="2131" spans="1:11" x14ac:dyDescent="0.35">
      <c r="A2131">
        <v>103062</v>
      </c>
      <c r="B2131">
        <v>2485</v>
      </c>
      <c r="C2131" t="s">
        <v>597</v>
      </c>
      <c r="D2131" t="s">
        <v>603</v>
      </c>
      <c r="E2131" t="s">
        <v>3715</v>
      </c>
      <c r="G2131">
        <v>22237</v>
      </c>
    </row>
    <row r="2132" spans="1:11" x14ac:dyDescent="0.35">
      <c r="A2132">
        <v>102360</v>
      </c>
      <c r="B2132">
        <v>791</v>
      </c>
      <c r="C2132" t="s">
        <v>597</v>
      </c>
      <c r="D2132" t="s">
        <v>742</v>
      </c>
      <c r="E2132" t="s">
        <v>3716</v>
      </c>
      <c r="F2132">
        <v>217</v>
      </c>
      <c r="G2132">
        <v>1481</v>
      </c>
    </row>
    <row r="2133" spans="1:11" x14ac:dyDescent="0.35">
      <c r="A2133">
        <v>103469</v>
      </c>
      <c r="B2133">
        <v>677</v>
      </c>
      <c r="C2133" t="s">
        <v>597</v>
      </c>
      <c r="D2133" t="s">
        <v>742</v>
      </c>
      <c r="E2133" t="s">
        <v>3717</v>
      </c>
      <c r="F2133">
        <v>498</v>
      </c>
    </row>
    <row r="2134" spans="1:11" x14ac:dyDescent="0.35">
      <c r="A2134">
        <v>101030</v>
      </c>
      <c r="B2134">
        <v>920</v>
      </c>
      <c r="C2134" t="s">
        <v>597</v>
      </c>
      <c r="D2134" t="s">
        <v>742</v>
      </c>
      <c r="E2134" t="s">
        <v>3718</v>
      </c>
      <c r="F2134">
        <v>465</v>
      </c>
    </row>
    <row r="2135" spans="1:11" x14ac:dyDescent="0.35">
      <c r="A2135">
        <v>103493</v>
      </c>
      <c r="B2135">
        <v>1615</v>
      </c>
      <c r="C2135" t="s">
        <v>597</v>
      </c>
      <c r="D2135" t="s">
        <v>1066</v>
      </c>
      <c r="E2135" t="s">
        <v>3719</v>
      </c>
    </row>
    <row r="2136" spans="1:11" x14ac:dyDescent="0.35">
      <c r="A2136">
        <v>104053</v>
      </c>
      <c r="B2136">
        <v>680</v>
      </c>
      <c r="C2136" t="s">
        <v>597</v>
      </c>
      <c r="D2136" t="s">
        <v>742</v>
      </c>
      <c r="E2136" t="s">
        <v>3720</v>
      </c>
      <c r="F2136">
        <v>197</v>
      </c>
    </row>
    <row r="2137" spans="1:11" x14ac:dyDescent="0.35">
      <c r="A2137">
        <v>102677</v>
      </c>
      <c r="B2137">
        <v>2441</v>
      </c>
      <c r="C2137" t="s">
        <v>602</v>
      </c>
      <c r="D2137" t="s">
        <v>3443</v>
      </c>
      <c r="E2137" t="s">
        <v>501</v>
      </c>
      <c r="F2137">
        <v>275001</v>
      </c>
      <c r="G2137">
        <v>221290</v>
      </c>
    </row>
    <row r="2138" spans="1:11" x14ac:dyDescent="0.35">
      <c r="A2138">
        <v>101690</v>
      </c>
      <c r="B2138">
        <v>1315</v>
      </c>
      <c r="C2138" t="s">
        <v>597</v>
      </c>
      <c r="D2138" t="s">
        <v>3417</v>
      </c>
      <c r="E2138" t="s">
        <v>3721</v>
      </c>
      <c r="G2138">
        <v>219613</v>
      </c>
    </row>
    <row r="2139" spans="1:11" x14ac:dyDescent="0.35">
      <c r="A2139">
        <v>102130</v>
      </c>
      <c r="B2139">
        <v>1420</v>
      </c>
      <c r="C2139" t="s">
        <v>597</v>
      </c>
      <c r="D2139" t="s">
        <v>1066</v>
      </c>
      <c r="E2139" t="s">
        <v>3722</v>
      </c>
    </row>
    <row r="2140" spans="1:11" x14ac:dyDescent="0.35">
      <c r="A2140">
        <v>104002</v>
      </c>
      <c r="B2140">
        <v>885</v>
      </c>
      <c r="C2140" t="s">
        <v>597</v>
      </c>
      <c r="D2140" t="s">
        <v>742</v>
      </c>
      <c r="E2140" t="s">
        <v>3723</v>
      </c>
      <c r="F2140">
        <v>423</v>
      </c>
      <c r="G2140">
        <v>217688</v>
      </c>
    </row>
    <row r="2141" spans="1:11" x14ac:dyDescent="0.35">
      <c r="A2141">
        <v>104049</v>
      </c>
      <c r="B2141">
        <v>912</v>
      </c>
      <c r="C2141" t="s">
        <v>597</v>
      </c>
      <c r="D2141" t="s">
        <v>742</v>
      </c>
      <c r="E2141" t="s">
        <v>3724</v>
      </c>
      <c r="F2141">
        <v>533</v>
      </c>
      <c r="G2141">
        <v>21234</v>
      </c>
    </row>
    <row r="2142" spans="1:11" x14ac:dyDescent="0.35">
      <c r="A2142">
        <v>101772</v>
      </c>
      <c r="B2142">
        <v>927</v>
      </c>
      <c r="C2142" t="s">
        <v>597</v>
      </c>
      <c r="D2142" t="s">
        <v>742</v>
      </c>
      <c r="E2142" t="s">
        <v>3725</v>
      </c>
      <c r="F2142">
        <v>466</v>
      </c>
    </row>
    <row r="2143" spans="1:11" x14ac:dyDescent="0.35">
      <c r="A2143">
        <v>102095</v>
      </c>
      <c r="B2143">
        <v>1396</v>
      </c>
      <c r="C2143" t="s">
        <v>597</v>
      </c>
      <c r="D2143" t="s">
        <v>1066</v>
      </c>
      <c r="E2143" t="s">
        <v>3726</v>
      </c>
    </row>
    <row r="2144" spans="1:11" x14ac:dyDescent="0.35">
      <c r="A2144">
        <v>104320</v>
      </c>
      <c r="B2144">
        <v>2644</v>
      </c>
      <c r="C2144" t="s">
        <v>597</v>
      </c>
      <c r="D2144" t="s">
        <v>603</v>
      </c>
      <c r="E2144" t="s">
        <v>3727</v>
      </c>
      <c r="G2144">
        <v>228240</v>
      </c>
      <c r="K2144" t="s">
        <v>3728</v>
      </c>
    </row>
    <row r="2145" spans="1:11" x14ac:dyDescent="0.35">
      <c r="A2145">
        <v>103986</v>
      </c>
      <c r="B2145">
        <v>2592</v>
      </c>
      <c r="C2145" t="s">
        <v>597</v>
      </c>
      <c r="D2145" t="s">
        <v>603</v>
      </c>
      <c r="E2145" t="s">
        <v>3729</v>
      </c>
      <c r="G2145">
        <v>225349</v>
      </c>
    </row>
    <row r="2146" spans="1:11" x14ac:dyDescent="0.35">
      <c r="A2146">
        <v>102262</v>
      </c>
      <c r="B2146">
        <v>2373</v>
      </c>
      <c r="C2146" t="s">
        <v>602</v>
      </c>
      <c r="D2146" t="s">
        <v>603</v>
      </c>
      <c r="E2146" t="s">
        <v>535</v>
      </c>
      <c r="G2146">
        <v>770</v>
      </c>
    </row>
    <row r="2147" spans="1:11" x14ac:dyDescent="0.35">
      <c r="A2147">
        <v>103565</v>
      </c>
      <c r="B2147">
        <v>805</v>
      </c>
      <c r="C2147" t="s">
        <v>597</v>
      </c>
      <c r="D2147" t="s">
        <v>742</v>
      </c>
      <c r="E2147" t="s">
        <v>3730</v>
      </c>
      <c r="F2147">
        <v>166</v>
      </c>
    </row>
    <row r="2148" spans="1:11" x14ac:dyDescent="0.35">
      <c r="A2148">
        <v>104060</v>
      </c>
      <c r="B2148">
        <v>705</v>
      </c>
      <c r="C2148" t="s">
        <v>597</v>
      </c>
      <c r="D2148" t="s">
        <v>742</v>
      </c>
      <c r="E2148" t="s">
        <v>3731</v>
      </c>
      <c r="F2148">
        <v>180</v>
      </c>
    </row>
    <row r="2149" spans="1:11" x14ac:dyDescent="0.35">
      <c r="A2149">
        <v>103699</v>
      </c>
      <c r="B2149">
        <v>624</v>
      </c>
      <c r="C2149" t="s">
        <v>597</v>
      </c>
      <c r="D2149" t="s">
        <v>742</v>
      </c>
      <c r="E2149" t="s">
        <v>3732</v>
      </c>
      <c r="F2149">
        <v>234</v>
      </c>
    </row>
    <row r="2150" spans="1:11" x14ac:dyDescent="0.35">
      <c r="A2150">
        <v>102324</v>
      </c>
      <c r="B2150">
        <v>743</v>
      </c>
      <c r="C2150" t="s">
        <v>597</v>
      </c>
      <c r="D2150" t="s">
        <v>742</v>
      </c>
      <c r="E2150" t="s">
        <v>3733</v>
      </c>
      <c r="F2150">
        <v>253</v>
      </c>
    </row>
    <row r="2151" spans="1:11" x14ac:dyDescent="0.35">
      <c r="A2151">
        <v>103773</v>
      </c>
      <c r="B2151">
        <v>824</v>
      </c>
      <c r="C2151" t="s">
        <v>597</v>
      </c>
      <c r="D2151" t="s">
        <v>742</v>
      </c>
      <c r="E2151" t="s">
        <v>3734</v>
      </c>
      <c r="F2151">
        <v>593</v>
      </c>
    </row>
    <row r="2152" spans="1:11" x14ac:dyDescent="0.35">
      <c r="A2152">
        <v>102266</v>
      </c>
      <c r="B2152">
        <v>2375</v>
      </c>
      <c r="C2152" t="s">
        <v>602</v>
      </c>
      <c r="D2152" t="s">
        <v>603</v>
      </c>
      <c r="E2152" t="s">
        <v>375</v>
      </c>
      <c r="G2152">
        <v>221339</v>
      </c>
    </row>
    <row r="2153" spans="1:11" x14ac:dyDescent="0.35">
      <c r="A2153">
        <v>104064</v>
      </c>
      <c r="B2153">
        <v>798</v>
      </c>
      <c r="C2153" t="s">
        <v>597</v>
      </c>
      <c r="D2153" t="s">
        <v>742</v>
      </c>
      <c r="E2153" t="s">
        <v>3735</v>
      </c>
      <c r="F2153">
        <v>607</v>
      </c>
      <c r="G2153">
        <v>225451</v>
      </c>
    </row>
    <row r="2154" spans="1:11" x14ac:dyDescent="0.35">
      <c r="A2154">
        <v>103041</v>
      </c>
      <c r="B2154">
        <v>2483</v>
      </c>
      <c r="C2154" t="s">
        <v>597</v>
      </c>
      <c r="D2154" t="s">
        <v>603</v>
      </c>
      <c r="E2154" t="s">
        <v>3736</v>
      </c>
      <c r="G2154">
        <v>21230</v>
      </c>
    </row>
    <row r="2155" spans="1:11" x14ac:dyDescent="0.35">
      <c r="A2155">
        <v>103637</v>
      </c>
      <c r="B2155">
        <v>619</v>
      </c>
      <c r="C2155" t="s">
        <v>597</v>
      </c>
      <c r="D2155" t="s">
        <v>742</v>
      </c>
      <c r="E2155" t="s">
        <v>3737</v>
      </c>
      <c r="F2155">
        <v>444</v>
      </c>
      <c r="G2155">
        <v>223053</v>
      </c>
    </row>
    <row r="2156" spans="1:11" x14ac:dyDescent="0.35">
      <c r="A2156">
        <v>103757</v>
      </c>
      <c r="B2156">
        <v>2564</v>
      </c>
      <c r="C2156" t="s">
        <v>602</v>
      </c>
      <c r="D2156" t="s">
        <v>603</v>
      </c>
      <c r="E2156" t="s">
        <v>63</v>
      </c>
      <c r="G2156">
        <v>223295</v>
      </c>
    </row>
    <row r="2157" spans="1:11" x14ac:dyDescent="0.35">
      <c r="A2157">
        <v>104001</v>
      </c>
      <c r="B2157">
        <v>884</v>
      </c>
      <c r="C2157" t="s">
        <v>597</v>
      </c>
      <c r="D2157" t="s">
        <v>742</v>
      </c>
      <c r="E2157" t="s">
        <v>3738</v>
      </c>
      <c r="F2157">
        <v>100</v>
      </c>
      <c r="G2157">
        <v>223049</v>
      </c>
    </row>
    <row r="2158" spans="1:11" x14ac:dyDescent="0.35">
      <c r="A2158">
        <v>102435</v>
      </c>
      <c r="B2158">
        <v>2403</v>
      </c>
      <c r="C2158" t="s">
        <v>602</v>
      </c>
      <c r="D2158" t="s">
        <v>603</v>
      </c>
      <c r="E2158" t="s">
        <v>517</v>
      </c>
      <c r="G2158">
        <v>220892</v>
      </c>
    </row>
    <row r="2159" spans="1:11" x14ac:dyDescent="0.35">
      <c r="A2159">
        <v>103421</v>
      </c>
      <c r="B2159">
        <v>728</v>
      </c>
      <c r="C2159" t="s">
        <v>597</v>
      </c>
      <c r="D2159" t="s">
        <v>742</v>
      </c>
      <c r="E2159" t="s">
        <v>3739</v>
      </c>
      <c r="F2159">
        <v>345</v>
      </c>
    </row>
    <row r="2160" spans="1:11" x14ac:dyDescent="0.35">
      <c r="A2160">
        <v>0</v>
      </c>
      <c r="B2160">
        <v>3496</v>
      </c>
      <c r="C2160" t="s">
        <v>602</v>
      </c>
      <c r="D2160" t="s">
        <v>1243</v>
      </c>
      <c r="E2160" t="s">
        <v>3740</v>
      </c>
      <c r="G2160">
        <v>0</v>
      </c>
      <c r="K2160" t="s">
        <v>1312</v>
      </c>
    </row>
    <row r="2161" spans="1:7" x14ac:dyDescent="0.35">
      <c r="A2161">
        <v>103485</v>
      </c>
      <c r="B2161">
        <v>1608</v>
      </c>
      <c r="C2161" t="s">
        <v>597</v>
      </c>
      <c r="D2161" t="s">
        <v>1066</v>
      </c>
      <c r="E2161" t="s">
        <v>3741</v>
      </c>
    </row>
    <row r="2162" spans="1:7" x14ac:dyDescent="0.35">
      <c r="A2162">
        <v>103690</v>
      </c>
      <c r="B2162">
        <v>621</v>
      </c>
      <c r="C2162" t="s">
        <v>597</v>
      </c>
      <c r="D2162" t="s">
        <v>742</v>
      </c>
      <c r="E2162" t="s">
        <v>3742</v>
      </c>
      <c r="F2162">
        <v>579</v>
      </c>
      <c r="G2162">
        <v>223136</v>
      </c>
    </row>
    <row r="2163" spans="1:7" x14ac:dyDescent="0.35">
      <c r="A2163">
        <v>103523</v>
      </c>
      <c r="B2163">
        <v>797</v>
      </c>
      <c r="C2163" t="s">
        <v>597</v>
      </c>
      <c r="D2163" t="s">
        <v>742</v>
      </c>
      <c r="E2163" t="s">
        <v>3743</v>
      </c>
      <c r="F2163">
        <v>401</v>
      </c>
      <c r="G2163">
        <v>222877</v>
      </c>
    </row>
    <row r="2164" spans="1:7" x14ac:dyDescent="0.35">
      <c r="A2164">
        <v>102159</v>
      </c>
      <c r="B2164">
        <v>742</v>
      </c>
      <c r="C2164" t="s">
        <v>597</v>
      </c>
      <c r="D2164" t="s">
        <v>742</v>
      </c>
      <c r="E2164" t="s">
        <v>3744</v>
      </c>
      <c r="F2164">
        <v>305</v>
      </c>
      <c r="G2164">
        <v>22988</v>
      </c>
    </row>
    <row r="2165" spans="1:7" x14ac:dyDescent="0.35">
      <c r="A2165">
        <v>0</v>
      </c>
      <c r="B2165">
        <v>2668</v>
      </c>
      <c r="C2165" t="s">
        <v>602</v>
      </c>
      <c r="D2165" t="s">
        <v>3408</v>
      </c>
      <c r="E2165" t="s">
        <v>3102</v>
      </c>
    </row>
    <row r="2166" spans="1:7" x14ac:dyDescent="0.35">
      <c r="A2166">
        <v>101088</v>
      </c>
      <c r="B2166">
        <v>2237</v>
      </c>
      <c r="C2166" t="s">
        <v>602</v>
      </c>
      <c r="D2166" t="s">
        <v>603</v>
      </c>
      <c r="E2166" t="s">
        <v>325</v>
      </c>
      <c r="G2166">
        <v>22249</v>
      </c>
    </row>
    <row r="2167" spans="1:7" x14ac:dyDescent="0.35">
      <c r="A2167">
        <v>101672</v>
      </c>
      <c r="B2167">
        <v>2277</v>
      </c>
      <c r="C2167" t="s">
        <v>597</v>
      </c>
      <c r="D2167" t="s">
        <v>603</v>
      </c>
      <c r="E2167" t="s">
        <v>3745</v>
      </c>
    </row>
    <row r="2168" spans="1:7" x14ac:dyDescent="0.35">
      <c r="A2168">
        <v>101955</v>
      </c>
      <c r="B2168">
        <v>2332</v>
      </c>
      <c r="C2168" t="s">
        <v>597</v>
      </c>
      <c r="D2168" t="s">
        <v>603</v>
      </c>
      <c r="E2168" t="s">
        <v>3746</v>
      </c>
      <c r="G2168">
        <v>879</v>
      </c>
    </row>
    <row r="2169" spans="1:7" x14ac:dyDescent="0.35">
      <c r="A2169">
        <v>101172</v>
      </c>
      <c r="B2169">
        <v>2243</v>
      </c>
      <c r="C2169" t="s">
        <v>602</v>
      </c>
      <c r="D2169" t="s">
        <v>603</v>
      </c>
      <c r="E2169" t="s">
        <v>465</v>
      </c>
      <c r="G2169">
        <v>2773</v>
      </c>
    </row>
    <row r="2170" spans="1:7" x14ac:dyDescent="0.35">
      <c r="A2170">
        <v>0</v>
      </c>
      <c r="B2170">
        <v>2672</v>
      </c>
      <c r="C2170" t="s">
        <v>602</v>
      </c>
      <c r="D2170" t="s">
        <v>3408</v>
      </c>
      <c r="E2170" t="s">
        <v>3747</v>
      </c>
    </row>
    <row r="2171" spans="1:7" x14ac:dyDescent="0.35">
      <c r="A2171">
        <v>104126</v>
      </c>
      <c r="B2171">
        <v>617</v>
      </c>
      <c r="C2171" t="s">
        <v>597</v>
      </c>
      <c r="D2171" t="s">
        <v>742</v>
      </c>
      <c r="E2171" t="s">
        <v>3748</v>
      </c>
      <c r="F2171">
        <v>186</v>
      </c>
      <c r="G2171">
        <v>226144</v>
      </c>
    </row>
    <row r="2172" spans="1:7" x14ac:dyDescent="0.35">
      <c r="A2172">
        <v>103685</v>
      </c>
      <c r="B2172">
        <v>2556</v>
      </c>
      <c r="C2172" t="s">
        <v>597</v>
      </c>
      <c r="D2172" t="s">
        <v>603</v>
      </c>
      <c r="E2172" t="s">
        <v>3749</v>
      </c>
      <c r="G2172">
        <v>223148</v>
      </c>
    </row>
    <row r="2173" spans="1:7" x14ac:dyDescent="0.35">
      <c r="A2173">
        <v>0</v>
      </c>
      <c r="B2173">
        <v>3163</v>
      </c>
      <c r="C2173" t="s">
        <v>602</v>
      </c>
      <c r="D2173" t="s">
        <v>3750</v>
      </c>
      <c r="E2173" t="s">
        <v>3751</v>
      </c>
    </row>
    <row r="2174" spans="1:7" x14ac:dyDescent="0.35">
      <c r="A2174">
        <v>103426</v>
      </c>
      <c r="B2174">
        <v>1569</v>
      </c>
      <c r="C2174" t="s">
        <v>597</v>
      </c>
      <c r="D2174" t="s">
        <v>1066</v>
      </c>
      <c r="E2174" t="s">
        <v>3752</v>
      </c>
    </row>
    <row r="2175" spans="1:7" x14ac:dyDescent="0.35">
      <c r="A2175">
        <v>104372</v>
      </c>
      <c r="B2175">
        <v>3166</v>
      </c>
      <c r="C2175" t="s">
        <v>602</v>
      </c>
      <c r="D2175" t="s">
        <v>603</v>
      </c>
      <c r="E2175" t="s">
        <v>3753</v>
      </c>
      <c r="G2175">
        <v>225358</v>
      </c>
    </row>
    <row r="2176" spans="1:7" x14ac:dyDescent="0.35">
      <c r="A2176">
        <v>102679</v>
      </c>
      <c r="B2176">
        <v>2442</v>
      </c>
      <c r="C2176" t="s">
        <v>602</v>
      </c>
      <c r="D2176" t="s">
        <v>603</v>
      </c>
      <c r="E2176" t="s">
        <v>3754</v>
      </c>
      <c r="G2176">
        <v>1387</v>
      </c>
    </row>
    <row r="2177" spans="1:7" x14ac:dyDescent="0.35">
      <c r="A2177">
        <v>101252</v>
      </c>
      <c r="B2177">
        <v>2257</v>
      </c>
      <c r="C2177" t="s">
        <v>597</v>
      </c>
      <c r="D2177" t="s">
        <v>603</v>
      </c>
      <c r="E2177" t="s">
        <v>3755</v>
      </c>
    </row>
    <row r="2178" spans="1:7" x14ac:dyDescent="0.35">
      <c r="A2178">
        <v>103643</v>
      </c>
      <c r="B2178">
        <v>790</v>
      </c>
      <c r="C2178" t="s">
        <v>597</v>
      </c>
      <c r="D2178" t="s">
        <v>742</v>
      </c>
      <c r="E2178" t="s">
        <v>3756</v>
      </c>
      <c r="F2178">
        <v>162</v>
      </c>
      <c r="G2178">
        <v>1480</v>
      </c>
    </row>
    <row r="2179" spans="1:7" x14ac:dyDescent="0.35">
      <c r="A2179">
        <v>103669</v>
      </c>
      <c r="B2179">
        <v>757</v>
      </c>
      <c r="C2179" t="s">
        <v>597</v>
      </c>
      <c r="D2179" t="s">
        <v>742</v>
      </c>
      <c r="E2179" t="s">
        <v>3757</v>
      </c>
      <c r="F2179">
        <v>171</v>
      </c>
    </row>
    <row r="2180" spans="1:7" x14ac:dyDescent="0.35">
      <c r="A2180">
        <v>102701</v>
      </c>
      <c r="B2180">
        <v>2445</v>
      </c>
      <c r="C2180" t="s">
        <v>597</v>
      </c>
      <c r="D2180" t="s">
        <v>603</v>
      </c>
      <c r="E2180" t="s">
        <v>3758</v>
      </c>
    </row>
    <row r="2181" spans="1:7" x14ac:dyDescent="0.35">
      <c r="A2181">
        <v>103025</v>
      </c>
      <c r="B2181">
        <v>2478</v>
      </c>
      <c r="C2181" t="s">
        <v>597</v>
      </c>
      <c r="D2181" t="s">
        <v>603</v>
      </c>
      <c r="E2181" t="s">
        <v>3759</v>
      </c>
      <c r="G2181">
        <v>221866</v>
      </c>
    </row>
    <row r="2182" spans="1:7" x14ac:dyDescent="0.35">
      <c r="A2182">
        <v>102757</v>
      </c>
      <c r="B2182">
        <v>804</v>
      </c>
      <c r="C2182" t="s">
        <v>597</v>
      </c>
      <c r="D2182" t="s">
        <v>742</v>
      </c>
      <c r="E2182" t="s">
        <v>3760</v>
      </c>
      <c r="F2182">
        <v>344</v>
      </c>
      <c r="G2182">
        <v>221547</v>
      </c>
    </row>
    <row r="2183" spans="1:7" x14ac:dyDescent="0.35">
      <c r="A2183">
        <v>101724</v>
      </c>
      <c r="B2183">
        <v>665</v>
      </c>
      <c r="C2183" t="s">
        <v>597</v>
      </c>
      <c r="D2183" t="s">
        <v>742</v>
      </c>
      <c r="E2183" t="s">
        <v>3761</v>
      </c>
      <c r="F2183">
        <v>181</v>
      </c>
    </row>
    <row r="2184" spans="1:7" x14ac:dyDescent="0.35">
      <c r="A2184">
        <v>102462</v>
      </c>
      <c r="B2184">
        <v>686</v>
      </c>
      <c r="C2184" t="s">
        <v>597</v>
      </c>
      <c r="D2184" t="s">
        <v>742</v>
      </c>
      <c r="E2184" t="s">
        <v>3762</v>
      </c>
      <c r="F2184">
        <v>330</v>
      </c>
      <c r="G2184">
        <v>2724</v>
      </c>
    </row>
    <row r="2185" spans="1:7" x14ac:dyDescent="0.35">
      <c r="A2185">
        <v>101673</v>
      </c>
      <c r="B2185">
        <v>2278</v>
      </c>
      <c r="C2185" t="s">
        <v>602</v>
      </c>
      <c r="D2185" t="s">
        <v>603</v>
      </c>
      <c r="E2185" t="s">
        <v>429</v>
      </c>
      <c r="G2185">
        <v>977</v>
      </c>
    </row>
    <row r="2186" spans="1:7" x14ac:dyDescent="0.35">
      <c r="A2186">
        <v>104342</v>
      </c>
      <c r="B2186">
        <v>2659</v>
      </c>
      <c r="C2186" t="s">
        <v>597</v>
      </c>
      <c r="D2186" t="s">
        <v>603</v>
      </c>
      <c r="E2186" t="s">
        <v>3763</v>
      </c>
      <c r="G2186">
        <v>225151</v>
      </c>
    </row>
    <row r="2187" spans="1:7" x14ac:dyDescent="0.35">
      <c r="A2187">
        <v>102613</v>
      </c>
      <c r="B2187">
        <v>2433</v>
      </c>
      <c r="C2187" t="s">
        <v>602</v>
      </c>
      <c r="D2187" t="s">
        <v>603</v>
      </c>
      <c r="E2187" t="s">
        <v>149</v>
      </c>
      <c r="G2187">
        <v>221076</v>
      </c>
    </row>
    <row r="2188" spans="1:7" x14ac:dyDescent="0.35">
      <c r="A2188">
        <v>103113</v>
      </c>
      <c r="B2188">
        <v>2493</v>
      </c>
      <c r="C2188" t="s">
        <v>602</v>
      </c>
      <c r="D2188" t="s">
        <v>603</v>
      </c>
      <c r="E2188" t="s">
        <v>3764</v>
      </c>
      <c r="G2188">
        <v>222072</v>
      </c>
    </row>
    <row r="2189" spans="1:7" x14ac:dyDescent="0.35">
      <c r="A2189">
        <v>104190</v>
      </c>
      <c r="B2189">
        <v>1719</v>
      </c>
      <c r="C2189" t="s">
        <v>597</v>
      </c>
      <c r="D2189" t="s">
        <v>3443</v>
      </c>
      <c r="E2189" t="s">
        <v>3765</v>
      </c>
      <c r="G2189">
        <v>21820</v>
      </c>
    </row>
    <row r="2190" spans="1:7" x14ac:dyDescent="0.35">
      <c r="A2190">
        <v>103963</v>
      </c>
      <c r="B2190">
        <v>1826</v>
      </c>
      <c r="C2190" t="s">
        <v>602</v>
      </c>
      <c r="D2190" t="s">
        <v>882</v>
      </c>
      <c r="E2190" t="s">
        <v>3766</v>
      </c>
      <c r="G2190">
        <v>226041</v>
      </c>
    </row>
    <row r="2191" spans="1:7" x14ac:dyDescent="0.35">
      <c r="A2191">
        <v>103683</v>
      </c>
      <c r="B2191">
        <v>850</v>
      </c>
      <c r="C2191" t="s">
        <v>597</v>
      </c>
      <c r="D2191" t="s">
        <v>742</v>
      </c>
      <c r="E2191" t="s">
        <v>3767</v>
      </c>
      <c r="F2191">
        <v>574</v>
      </c>
    </row>
    <row r="2192" spans="1:7" x14ac:dyDescent="0.35">
      <c r="A2192">
        <v>103464</v>
      </c>
      <c r="B2192">
        <v>2529</v>
      </c>
      <c r="C2192" t="s">
        <v>602</v>
      </c>
      <c r="D2192" t="s">
        <v>603</v>
      </c>
      <c r="E2192" t="s">
        <v>3768</v>
      </c>
      <c r="G2192">
        <v>218751</v>
      </c>
    </row>
    <row r="2193" spans="1:12" x14ac:dyDescent="0.35">
      <c r="A2193">
        <v>104059</v>
      </c>
      <c r="B2193">
        <v>681</v>
      </c>
      <c r="C2193" t="s">
        <v>597</v>
      </c>
      <c r="D2193" t="s">
        <v>742</v>
      </c>
      <c r="E2193" t="s">
        <v>3769</v>
      </c>
      <c r="F2193">
        <v>270</v>
      </c>
      <c r="G2193">
        <v>22936</v>
      </c>
    </row>
    <row r="2194" spans="1:12" x14ac:dyDescent="0.35">
      <c r="A2194">
        <v>104269</v>
      </c>
      <c r="B2194">
        <v>602</v>
      </c>
      <c r="C2194" t="s">
        <v>597</v>
      </c>
      <c r="D2194" t="s">
        <v>742</v>
      </c>
      <c r="E2194" t="s">
        <v>3770</v>
      </c>
      <c r="G2194">
        <v>227585</v>
      </c>
    </row>
    <row r="2195" spans="1:12" x14ac:dyDescent="0.35">
      <c r="A2195">
        <v>574</v>
      </c>
      <c r="B2195">
        <v>3515</v>
      </c>
      <c r="C2195" t="s">
        <v>602</v>
      </c>
      <c r="E2195" t="s">
        <v>3771</v>
      </c>
      <c r="G2195">
        <v>227695</v>
      </c>
      <c r="L2195" t="s">
        <v>965</v>
      </c>
    </row>
    <row r="2196" spans="1:12" x14ac:dyDescent="0.35">
      <c r="A2196">
        <v>102329</v>
      </c>
      <c r="B2196">
        <v>2391</v>
      </c>
      <c r="C2196" t="s">
        <v>602</v>
      </c>
      <c r="D2196" t="s">
        <v>603</v>
      </c>
      <c r="E2196" t="s">
        <v>254</v>
      </c>
      <c r="G2196">
        <v>23130</v>
      </c>
    </row>
    <row r="2197" spans="1:12" x14ac:dyDescent="0.35">
      <c r="A2197">
        <v>102774</v>
      </c>
      <c r="B2197">
        <v>2464</v>
      </c>
      <c r="C2197" t="s">
        <v>597</v>
      </c>
      <c r="D2197" t="s">
        <v>603</v>
      </c>
      <c r="E2197" t="s">
        <v>3772</v>
      </c>
    </row>
    <row r="2198" spans="1:12" x14ac:dyDescent="0.35">
      <c r="A2198">
        <v>103994</v>
      </c>
      <c r="B2198">
        <v>2596</v>
      </c>
      <c r="C2198" t="s">
        <v>597</v>
      </c>
      <c r="D2198" t="s">
        <v>603</v>
      </c>
      <c r="E2198" t="s">
        <v>3773</v>
      </c>
      <c r="G2198">
        <v>225977</v>
      </c>
    </row>
    <row r="2199" spans="1:12" x14ac:dyDescent="0.35">
      <c r="A2199">
        <v>103725</v>
      </c>
      <c r="B2199">
        <v>788</v>
      </c>
      <c r="C2199" t="s">
        <v>597</v>
      </c>
      <c r="D2199" t="s">
        <v>742</v>
      </c>
      <c r="E2199" t="s">
        <v>3774</v>
      </c>
      <c r="F2199">
        <v>392</v>
      </c>
    </row>
    <row r="2200" spans="1:12" x14ac:dyDescent="0.35">
      <c r="A2200">
        <v>103450</v>
      </c>
      <c r="B2200">
        <v>783</v>
      </c>
      <c r="C2200" t="s">
        <v>597</v>
      </c>
      <c r="D2200" t="s">
        <v>742</v>
      </c>
      <c r="E2200" t="s">
        <v>3775</v>
      </c>
      <c r="F2200">
        <v>549</v>
      </c>
      <c r="G2200">
        <v>222762</v>
      </c>
    </row>
    <row r="2201" spans="1:12" x14ac:dyDescent="0.35">
      <c r="A2201">
        <v>104039</v>
      </c>
      <c r="B2201">
        <v>821</v>
      </c>
      <c r="C2201" t="s">
        <v>597</v>
      </c>
      <c r="D2201" t="s">
        <v>742</v>
      </c>
      <c r="E2201" t="s">
        <v>3776</v>
      </c>
      <c r="F2201">
        <v>206</v>
      </c>
    </row>
    <row r="2202" spans="1:12" x14ac:dyDescent="0.35">
      <c r="A2202">
        <v>103601</v>
      </c>
      <c r="B2202">
        <v>2549</v>
      </c>
      <c r="C2202" t="s">
        <v>602</v>
      </c>
      <c r="D2202" t="s">
        <v>603</v>
      </c>
      <c r="E2202" t="s">
        <v>3777</v>
      </c>
      <c r="G2202">
        <v>223023</v>
      </c>
    </row>
    <row r="2203" spans="1:12" x14ac:dyDescent="0.35">
      <c r="A2203">
        <v>102486</v>
      </c>
      <c r="B2203">
        <v>2416</v>
      </c>
      <c r="C2203" t="s">
        <v>602</v>
      </c>
      <c r="D2203" t="s">
        <v>603</v>
      </c>
      <c r="E2203" t="s">
        <v>3778</v>
      </c>
      <c r="G2203">
        <v>20904</v>
      </c>
    </row>
    <row r="2204" spans="1:12" x14ac:dyDescent="0.35">
      <c r="A2204">
        <v>102797</v>
      </c>
      <c r="B2204">
        <v>2470</v>
      </c>
      <c r="C2204" t="s">
        <v>602</v>
      </c>
      <c r="D2204" t="s">
        <v>603</v>
      </c>
      <c r="E2204" t="s">
        <v>14</v>
      </c>
      <c r="G2204">
        <v>1714</v>
      </c>
    </row>
    <row r="2205" spans="1:12" x14ac:dyDescent="0.35">
      <c r="A2205">
        <v>103379</v>
      </c>
      <c r="B2205">
        <v>2523</v>
      </c>
      <c r="C2205" t="s">
        <v>597</v>
      </c>
      <c r="D2205" t="s">
        <v>603</v>
      </c>
      <c r="E2205" t="s">
        <v>3779</v>
      </c>
    </row>
    <row r="2206" spans="1:12" x14ac:dyDescent="0.35">
      <c r="A2206">
        <v>104042</v>
      </c>
      <c r="B2206">
        <v>822</v>
      </c>
      <c r="C2206" t="s">
        <v>597</v>
      </c>
      <c r="D2206" t="s">
        <v>742</v>
      </c>
      <c r="E2206" t="s">
        <v>3780</v>
      </c>
      <c r="F2206">
        <v>219</v>
      </c>
    </row>
    <row r="2207" spans="1:12" x14ac:dyDescent="0.35">
      <c r="A2207">
        <v>101113</v>
      </c>
      <c r="B2207">
        <v>2239</v>
      </c>
      <c r="C2207" t="s">
        <v>597</v>
      </c>
      <c r="D2207" t="s">
        <v>603</v>
      </c>
      <c r="E2207" t="s">
        <v>3781</v>
      </c>
    </row>
    <row r="2208" spans="1:12" x14ac:dyDescent="0.35">
      <c r="A2208">
        <v>103617</v>
      </c>
      <c r="B2208">
        <v>931</v>
      </c>
      <c r="C2208" t="s">
        <v>597</v>
      </c>
      <c r="D2208" t="s">
        <v>742</v>
      </c>
      <c r="E2208" t="s">
        <v>3782</v>
      </c>
      <c r="F2208">
        <v>317</v>
      </c>
    </row>
    <row r="2209" spans="1:7" x14ac:dyDescent="0.35">
      <c r="A2209">
        <v>103620</v>
      </c>
      <c r="B2209">
        <v>764</v>
      </c>
      <c r="C2209" t="s">
        <v>597</v>
      </c>
      <c r="D2209" t="s">
        <v>742</v>
      </c>
      <c r="E2209" t="s">
        <v>3783</v>
      </c>
      <c r="F2209">
        <v>512</v>
      </c>
    </row>
    <row r="2210" spans="1:7" x14ac:dyDescent="0.35">
      <c r="A2210">
        <v>104016</v>
      </c>
      <c r="B2210">
        <v>863</v>
      </c>
      <c r="C2210" t="s">
        <v>597</v>
      </c>
      <c r="D2210" t="s">
        <v>742</v>
      </c>
      <c r="E2210" t="s">
        <v>3784</v>
      </c>
      <c r="F2210">
        <v>191</v>
      </c>
    </row>
    <row r="2211" spans="1:7" x14ac:dyDescent="0.35">
      <c r="A2211">
        <v>101125</v>
      </c>
      <c r="B2211">
        <v>2241</v>
      </c>
      <c r="C2211" t="s">
        <v>602</v>
      </c>
      <c r="D2211" t="s">
        <v>603</v>
      </c>
      <c r="E2211" t="s">
        <v>567</v>
      </c>
      <c r="G2211">
        <v>1884</v>
      </c>
    </row>
    <row r="2212" spans="1:7" x14ac:dyDescent="0.35">
      <c r="A2212">
        <v>103495</v>
      </c>
      <c r="B2212">
        <v>2530</v>
      </c>
      <c r="C2212" t="s">
        <v>597</v>
      </c>
      <c r="D2212" t="s">
        <v>603</v>
      </c>
      <c r="E2212" t="s">
        <v>3785</v>
      </c>
      <c r="G2212">
        <v>222851</v>
      </c>
    </row>
    <row r="2213" spans="1:7" x14ac:dyDescent="0.35">
      <c r="A2213">
        <v>0</v>
      </c>
      <c r="B2213">
        <v>3386</v>
      </c>
      <c r="C2213" t="s">
        <v>602</v>
      </c>
      <c r="D2213" t="s">
        <v>2470</v>
      </c>
      <c r="E2213" t="s">
        <v>3786</v>
      </c>
      <c r="G2213">
        <v>0</v>
      </c>
    </row>
    <row r="2214" spans="1:7" x14ac:dyDescent="0.35">
      <c r="A2214">
        <v>102284</v>
      </c>
      <c r="B2214">
        <v>2381</v>
      </c>
      <c r="C2214" t="s">
        <v>602</v>
      </c>
      <c r="D2214" t="s">
        <v>603</v>
      </c>
      <c r="E2214" t="s">
        <v>322</v>
      </c>
      <c r="G2214">
        <v>1627</v>
      </c>
    </row>
    <row r="2215" spans="1:7" x14ac:dyDescent="0.35">
      <c r="A2215">
        <v>103217</v>
      </c>
      <c r="B2215">
        <v>2507</v>
      </c>
      <c r="C2215" t="s">
        <v>597</v>
      </c>
      <c r="D2215" t="s">
        <v>603</v>
      </c>
      <c r="E2215" t="s">
        <v>3787</v>
      </c>
      <c r="G2215">
        <v>222286</v>
      </c>
    </row>
    <row r="2216" spans="1:7" x14ac:dyDescent="0.35">
      <c r="A2216">
        <v>101321</v>
      </c>
      <c r="B2216">
        <v>2262</v>
      </c>
      <c r="C2216" t="s">
        <v>597</v>
      </c>
      <c r="D2216" t="s">
        <v>603</v>
      </c>
      <c r="E2216" t="s">
        <v>3788</v>
      </c>
    </row>
    <row r="2217" spans="1:7" x14ac:dyDescent="0.35">
      <c r="A2217">
        <v>103941</v>
      </c>
      <c r="B2217">
        <v>1805</v>
      </c>
      <c r="C2217" t="s">
        <v>597</v>
      </c>
      <c r="D2217" t="s">
        <v>882</v>
      </c>
      <c r="E2217" t="s">
        <v>3789</v>
      </c>
      <c r="G2217">
        <v>225936</v>
      </c>
    </row>
    <row r="2218" spans="1:7" x14ac:dyDescent="0.35">
      <c r="A2218">
        <v>101058</v>
      </c>
      <c r="B2218">
        <v>2234</v>
      </c>
      <c r="C2218" t="s">
        <v>597</v>
      </c>
      <c r="D2218" t="s">
        <v>603</v>
      </c>
      <c r="E2218" t="s">
        <v>3790</v>
      </c>
      <c r="G2218">
        <v>909</v>
      </c>
    </row>
    <row r="2219" spans="1:7" x14ac:dyDescent="0.35">
      <c r="A2219">
        <v>103772</v>
      </c>
      <c r="B2219">
        <v>658</v>
      </c>
      <c r="C2219" t="s">
        <v>597</v>
      </c>
      <c r="D2219" t="s">
        <v>742</v>
      </c>
      <c r="E2219" t="s">
        <v>3791</v>
      </c>
      <c r="F2219">
        <v>585</v>
      </c>
      <c r="G2219">
        <v>225156</v>
      </c>
    </row>
    <row r="2220" spans="1:7" x14ac:dyDescent="0.35">
      <c r="A2220">
        <v>104032</v>
      </c>
      <c r="B2220">
        <v>914</v>
      </c>
      <c r="C2220" t="s">
        <v>597</v>
      </c>
      <c r="D2220" t="s">
        <v>742</v>
      </c>
      <c r="E2220" t="s">
        <v>3792</v>
      </c>
      <c r="F2220">
        <v>395</v>
      </c>
    </row>
    <row r="2221" spans="1:7" x14ac:dyDescent="0.35">
      <c r="A2221">
        <v>101235</v>
      </c>
      <c r="B2221">
        <v>2254</v>
      </c>
      <c r="C2221" t="s">
        <v>602</v>
      </c>
      <c r="D2221" t="s">
        <v>603</v>
      </c>
      <c r="E2221" t="s">
        <v>3793</v>
      </c>
      <c r="G2221">
        <v>219524</v>
      </c>
    </row>
    <row r="2222" spans="1:7" x14ac:dyDescent="0.35">
      <c r="A2222">
        <v>104069</v>
      </c>
      <c r="B2222">
        <v>928</v>
      </c>
      <c r="C2222" t="s">
        <v>597</v>
      </c>
      <c r="D2222" t="s">
        <v>742</v>
      </c>
      <c r="E2222" t="s">
        <v>3794</v>
      </c>
      <c r="F2222">
        <v>184</v>
      </c>
    </row>
    <row r="2223" spans="1:7" x14ac:dyDescent="0.35">
      <c r="A2223">
        <v>103811</v>
      </c>
      <c r="B2223">
        <v>2579</v>
      </c>
      <c r="C2223" t="s">
        <v>602</v>
      </c>
      <c r="D2223" t="s">
        <v>603</v>
      </c>
      <c r="E2223" t="s">
        <v>399</v>
      </c>
      <c r="F2223">
        <v>2001</v>
      </c>
      <c r="G2223">
        <v>222840</v>
      </c>
    </row>
    <row r="2224" spans="1:7" x14ac:dyDescent="0.35">
      <c r="A2224">
        <v>103533</v>
      </c>
      <c r="B2224">
        <v>599</v>
      </c>
      <c r="C2224" t="s">
        <v>597</v>
      </c>
      <c r="D2224" t="s">
        <v>742</v>
      </c>
      <c r="E2224" t="s">
        <v>3795</v>
      </c>
      <c r="F2224">
        <v>431</v>
      </c>
    </row>
    <row r="2225" spans="1:11" x14ac:dyDescent="0.35">
      <c r="A2225">
        <v>101925</v>
      </c>
      <c r="B2225">
        <v>758</v>
      </c>
      <c r="C2225" t="s">
        <v>597</v>
      </c>
      <c r="D2225" t="s">
        <v>742</v>
      </c>
      <c r="E2225" t="s">
        <v>3796</v>
      </c>
      <c r="F2225">
        <v>175</v>
      </c>
    </row>
    <row r="2226" spans="1:11" x14ac:dyDescent="0.35">
      <c r="A2226">
        <v>102479</v>
      </c>
      <c r="B2226">
        <v>2412</v>
      </c>
      <c r="C2226" t="s">
        <v>602</v>
      </c>
      <c r="D2226" t="s">
        <v>603</v>
      </c>
      <c r="E2226" t="s">
        <v>161</v>
      </c>
      <c r="G2226">
        <v>219293</v>
      </c>
    </row>
    <row r="2227" spans="1:11" x14ac:dyDescent="0.35">
      <c r="A2227">
        <v>0</v>
      </c>
      <c r="B2227">
        <v>3519</v>
      </c>
      <c r="C2227" t="s">
        <v>602</v>
      </c>
      <c r="D2227" t="s">
        <v>1243</v>
      </c>
      <c r="E2227" t="s">
        <v>3797</v>
      </c>
      <c r="G2227">
        <v>0</v>
      </c>
      <c r="K2227" t="s">
        <v>1761</v>
      </c>
    </row>
    <row r="2228" spans="1:11" x14ac:dyDescent="0.35">
      <c r="A2228">
        <v>104021</v>
      </c>
      <c r="B2228">
        <v>2601</v>
      </c>
      <c r="C2228" t="s">
        <v>597</v>
      </c>
      <c r="D2228" t="s">
        <v>603</v>
      </c>
      <c r="E2228" t="s">
        <v>3798</v>
      </c>
      <c r="G2228">
        <v>226102</v>
      </c>
    </row>
    <row r="2229" spans="1:11" x14ac:dyDescent="0.35">
      <c r="A2229">
        <v>104093</v>
      </c>
      <c r="B2229">
        <v>851</v>
      </c>
      <c r="C2229" t="s">
        <v>597</v>
      </c>
      <c r="D2229" t="s">
        <v>742</v>
      </c>
      <c r="E2229" t="s">
        <v>3799</v>
      </c>
      <c r="F2229">
        <v>541</v>
      </c>
    </row>
    <row r="2230" spans="1:11" x14ac:dyDescent="0.35">
      <c r="A2230">
        <v>104178</v>
      </c>
      <c r="B2230">
        <v>1715</v>
      </c>
      <c r="C2230" t="s">
        <v>597</v>
      </c>
      <c r="D2230" t="s">
        <v>3443</v>
      </c>
      <c r="E2230" t="s">
        <v>3800</v>
      </c>
    </row>
    <row r="2231" spans="1:11" x14ac:dyDescent="0.35">
      <c r="A2231">
        <v>103380</v>
      </c>
      <c r="B2231">
        <v>1531</v>
      </c>
      <c r="C2231" t="s">
        <v>597</v>
      </c>
      <c r="D2231" t="s">
        <v>1066</v>
      </c>
      <c r="E2231" t="s">
        <v>3801</v>
      </c>
    </row>
    <row r="2232" spans="1:11" x14ac:dyDescent="0.35">
      <c r="A2232">
        <v>104133</v>
      </c>
      <c r="B2232">
        <v>876</v>
      </c>
      <c r="C2232" t="s">
        <v>597</v>
      </c>
      <c r="D2232" t="s">
        <v>742</v>
      </c>
      <c r="E2232" t="s">
        <v>3802</v>
      </c>
      <c r="F2232">
        <v>247</v>
      </c>
    </row>
    <row r="2233" spans="1:11" x14ac:dyDescent="0.35">
      <c r="A2233">
        <v>104191</v>
      </c>
      <c r="B2233">
        <v>1720</v>
      </c>
      <c r="C2233" t="s">
        <v>597</v>
      </c>
      <c r="D2233" t="s">
        <v>3443</v>
      </c>
      <c r="E2233" t="s">
        <v>3803</v>
      </c>
      <c r="G2233">
        <v>267</v>
      </c>
    </row>
    <row r="2234" spans="1:11" x14ac:dyDescent="0.35">
      <c r="A2234">
        <v>103582</v>
      </c>
      <c r="B2234">
        <v>2538</v>
      </c>
      <c r="C2234" t="s">
        <v>597</v>
      </c>
      <c r="D2234" t="s">
        <v>603</v>
      </c>
      <c r="E2234" t="s">
        <v>3804</v>
      </c>
      <c r="F2234">
        <v>7018</v>
      </c>
      <c r="G2234">
        <v>227523</v>
      </c>
    </row>
    <row r="2235" spans="1:11" x14ac:dyDescent="0.35">
      <c r="A2235">
        <v>103033</v>
      </c>
      <c r="B2235">
        <v>3211</v>
      </c>
      <c r="C2235" t="s">
        <v>602</v>
      </c>
      <c r="D2235" t="s">
        <v>603</v>
      </c>
      <c r="E2235" t="s">
        <v>3805</v>
      </c>
      <c r="G2235">
        <v>21289</v>
      </c>
    </row>
    <row r="2236" spans="1:11" x14ac:dyDescent="0.35">
      <c r="A2236">
        <v>101702</v>
      </c>
      <c r="B2236">
        <v>1325</v>
      </c>
      <c r="C2236" t="s">
        <v>597</v>
      </c>
      <c r="D2236" t="s">
        <v>3417</v>
      </c>
      <c r="E2236" t="s">
        <v>3806</v>
      </c>
      <c r="G2236">
        <v>217983</v>
      </c>
    </row>
    <row r="2237" spans="1:11" x14ac:dyDescent="0.35">
      <c r="A2237">
        <v>103749</v>
      </c>
      <c r="B2237">
        <v>682</v>
      </c>
      <c r="C2237" t="s">
        <v>597</v>
      </c>
      <c r="D2237" t="s">
        <v>742</v>
      </c>
      <c r="E2237" t="s">
        <v>3807</v>
      </c>
      <c r="F2237">
        <v>319</v>
      </c>
    </row>
    <row r="2238" spans="1:11" x14ac:dyDescent="0.35">
      <c r="A2238">
        <v>103077</v>
      </c>
      <c r="B2238">
        <v>857</v>
      </c>
      <c r="C2238" t="s">
        <v>597</v>
      </c>
      <c r="D2238" t="s">
        <v>742</v>
      </c>
      <c r="E2238" t="s">
        <v>3808</v>
      </c>
      <c r="F2238">
        <v>559</v>
      </c>
    </row>
    <row r="2239" spans="1:11" x14ac:dyDescent="0.35">
      <c r="A2239">
        <v>103541</v>
      </c>
      <c r="B2239">
        <v>754</v>
      </c>
      <c r="C2239" t="s">
        <v>597</v>
      </c>
      <c r="D2239" t="s">
        <v>742</v>
      </c>
      <c r="E2239" t="s">
        <v>3809</v>
      </c>
      <c r="F2239">
        <v>503</v>
      </c>
      <c r="G2239">
        <v>222786</v>
      </c>
    </row>
    <row r="2240" spans="1:11" x14ac:dyDescent="0.35">
      <c r="A2240">
        <v>103761</v>
      </c>
      <c r="B2240">
        <v>2565</v>
      </c>
      <c r="C2240" t="s">
        <v>602</v>
      </c>
      <c r="D2240" t="s">
        <v>603</v>
      </c>
      <c r="E2240" t="s">
        <v>3810</v>
      </c>
      <c r="G2240">
        <v>225114</v>
      </c>
    </row>
    <row r="2241" spans="1:12" x14ac:dyDescent="0.35">
      <c r="A2241">
        <v>102148</v>
      </c>
      <c r="B2241">
        <v>2354</v>
      </c>
      <c r="C2241" t="s">
        <v>597</v>
      </c>
      <c r="D2241" t="s">
        <v>603</v>
      </c>
      <c r="E2241" t="s">
        <v>3811</v>
      </c>
      <c r="G2241">
        <v>3289</v>
      </c>
    </row>
    <row r="2242" spans="1:12" x14ac:dyDescent="0.35">
      <c r="A2242">
        <v>103497</v>
      </c>
      <c r="B2242">
        <v>2531</v>
      </c>
      <c r="C2242" t="s">
        <v>602</v>
      </c>
      <c r="D2242" t="s">
        <v>603</v>
      </c>
      <c r="E2242" t="s">
        <v>3812</v>
      </c>
      <c r="G2242">
        <v>222837</v>
      </c>
    </row>
    <row r="2243" spans="1:12" x14ac:dyDescent="0.35">
      <c r="A2243">
        <v>102289</v>
      </c>
      <c r="B2243">
        <v>2384</v>
      </c>
      <c r="C2243" t="s">
        <v>597</v>
      </c>
      <c r="D2243" t="s">
        <v>603</v>
      </c>
      <c r="E2243" t="s">
        <v>3813</v>
      </c>
    </row>
    <row r="2244" spans="1:12" x14ac:dyDescent="0.35">
      <c r="A2244">
        <v>104244</v>
      </c>
      <c r="B2244">
        <v>2628</v>
      </c>
      <c r="C2244" t="s">
        <v>602</v>
      </c>
      <c r="D2244" t="s">
        <v>603</v>
      </c>
      <c r="E2244" t="s">
        <v>3814</v>
      </c>
      <c r="G2244">
        <v>218748</v>
      </c>
    </row>
    <row r="2245" spans="1:12" x14ac:dyDescent="0.35">
      <c r="A2245">
        <v>101635</v>
      </c>
      <c r="B2245">
        <v>2271</v>
      </c>
      <c r="C2245" t="s">
        <v>602</v>
      </c>
      <c r="D2245" t="s">
        <v>603</v>
      </c>
      <c r="E2245" t="s">
        <v>3815</v>
      </c>
      <c r="G2245">
        <v>22601</v>
      </c>
    </row>
    <row r="2246" spans="1:12" x14ac:dyDescent="0.35">
      <c r="A2246">
        <v>103706</v>
      </c>
      <c r="B2246">
        <v>623</v>
      </c>
      <c r="C2246" t="s">
        <v>602</v>
      </c>
      <c r="D2246" t="s">
        <v>1336</v>
      </c>
      <c r="E2246" t="s">
        <v>3816</v>
      </c>
      <c r="F2246">
        <v>524</v>
      </c>
      <c r="G2246">
        <v>223172</v>
      </c>
      <c r="H2246" t="s">
        <v>1458</v>
      </c>
      <c r="L2246" t="s">
        <v>965</v>
      </c>
    </row>
    <row r="2247" spans="1:12" x14ac:dyDescent="0.35">
      <c r="A2247">
        <v>102439</v>
      </c>
      <c r="B2247">
        <v>2405</v>
      </c>
      <c r="C2247" t="s">
        <v>602</v>
      </c>
      <c r="D2247" t="s">
        <v>3443</v>
      </c>
      <c r="E2247" t="s">
        <v>286</v>
      </c>
      <c r="G2247">
        <v>20662</v>
      </c>
    </row>
    <row r="2248" spans="1:12" x14ac:dyDescent="0.35">
      <c r="A2248">
        <v>101223</v>
      </c>
      <c r="B2248">
        <v>2253</v>
      </c>
      <c r="C2248" t="s">
        <v>602</v>
      </c>
      <c r="D2248" t="s">
        <v>603</v>
      </c>
      <c r="E2248" t="s">
        <v>3817</v>
      </c>
      <c r="G2248">
        <v>223271</v>
      </c>
    </row>
    <row r="2249" spans="1:12" x14ac:dyDescent="0.35">
      <c r="A2249">
        <v>103186</v>
      </c>
      <c r="B2249">
        <v>2501</v>
      </c>
      <c r="C2249" t="s">
        <v>597</v>
      </c>
      <c r="D2249" t="s">
        <v>603</v>
      </c>
      <c r="E2249" t="s">
        <v>3818</v>
      </c>
    </row>
    <row r="2250" spans="1:12" x14ac:dyDescent="0.35">
      <c r="A2250">
        <v>104168</v>
      </c>
      <c r="B2250">
        <v>922</v>
      </c>
      <c r="C2250" t="s">
        <v>597</v>
      </c>
      <c r="D2250" t="s">
        <v>742</v>
      </c>
      <c r="E2250" t="s">
        <v>3819</v>
      </c>
      <c r="F2250">
        <v>619</v>
      </c>
      <c r="G2250">
        <v>226381</v>
      </c>
    </row>
    <row r="2251" spans="1:12" x14ac:dyDescent="0.35">
      <c r="A2251">
        <v>103771</v>
      </c>
      <c r="B2251">
        <v>2567</v>
      </c>
      <c r="C2251" t="s">
        <v>597</v>
      </c>
      <c r="D2251" t="s">
        <v>603</v>
      </c>
      <c r="E2251" t="s">
        <v>3820</v>
      </c>
      <c r="G2251">
        <v>220361</v>
      </c>
    </row>
    <row r="2252" spans="1:12" x14ac:dyDescent="0.35">
      <c r="A2252">
        <v>101193</v>
      </c>
      <c r="B2252">
        <v>2249</v>
      </c>
      <c r="C2252" t="s">
        <v>602</v>
      </c>
      <c r="D2252" t="s">
        <v>603</v>
      </c>
      <c r="E2252" t="s">
        <v>274</v>
      </c>
      <c r="G2252">
        <v>1298</v>
      </c>
    </row>
    <row r="2253" spans="1:12" x14ac:dyDescent="0.35">
      <c r="A2253">
        <v>101679</v>
      </c>
      <c r="B2253">
        <v>1305</v>
      </c>
      <c r="C2253" t="s">
        <v>597</v>
      </c>
      <c r="D2253" t="s">
        <v>3417</v>
      </c>
      <c r="E2253" t="s">
        <v>3821</v>
      </c>
      <c r="G2253">
        <v>218106</v>
      </c>
    </row>
    <row r="2254" spans="1:12" x14ac:dyDescent="0.35">
      <c r="A2254">
        <v>101208</v>
      </c>
      <c r="B2254">
        <v>2251</v>
      </c>
      <c r="C2254" t="s">
        <v>602</v>
      </c>
      <c r="D2254" t="s">
        <v>603</v>
      </c>
      <c r="E2254" t="s">
        <v>3822</v>
      </c>
    </row>
    <row r="2255" spans="1:12" x14ac:dyDescent="0.35">
      <c r="A2255">
        <v>102813</v>
      </c>
      <c r="B2255">
        <v>2472</v>
      </c>
      <c r="C2255" t="s">
        <v>597</v>
      </c>
      <c r="D2255" t="s">
        <v>603</v>
      </c>
      <c r="E2255" t="s">
        <v>3823</v>
      </c>
      <c r="G2255">
        <v>1302</v>
      </c>
    </row>
    <row r="2256" spans="1:12" x14ac:dyDescent="0.35">
      <c r="A2256">
        <v>103311</v>
      </c>
      <c r="B2256">
        <v>2516</v>
      </c>
      <c r="C2256" t="s">
        <v>597</v>
      </c>
      <c r="D2256" t="s">
        <v>603</v>
      </c>
      <c r="E2256" t="s">
        <v>3824</v>
      </c>
      <c r="G2256">
        <v>222438</v>
      </c>
    </row>
    <row r="2257" spans="1:12" x14ac:dyDescent="0.35">
      <c r="A2257">
        <v>103088</v>
      </c>
      <c r="B2257">
        <v>2488</v>
      </c>
      <c r="C2257" t="s">
        <v>602</v>
      </c>
      <c r="D2257" t="s">
        <v>603</v>
      </c>
      <c r="E2257" t="s">
        <v>229</v>
      </c>
      <c r="G2257">
        <v>222031</v>
      </c>
    </row>
    <row r="2258" spans="1:12" x14ac:dyDescent="0.35">
      <c r="A2258">
        <v>103724</v>
      </c>
      <c r="B2258">
        <v>2561</v>
      </c>
      <c r="C2258" t="s">
        <v>597</v>
      </c>
      <c r="D2258" t="s">
        <v>603</v>
      </c>
      <c r="E2258" t="s">
        <v>3825</v>
      </c>
    </row>
    <row r="2259" spans="1:12" x14ac:dyDescent="0.35">
      <c r="A2259">
        <v>102215</v>
      </c>
      <c r="B2259">
        <v>2368</v>
      </c>
      <c r="C2259" t="s">
        <v>597</v>
      </c>
      <c r="D2259" t="s">
        <v>603</v>
      </c>
      <c r="E2259" t="s">
        <v>3826</v>
      </c>
      <c r="G2259">
        <v>220856</v>
      </c>
    </row>
    <row r="2260" spans="1:12" x14ac:dyDescent="0.35">
      <c r="A2260">
        <v>103719</v>
      </c>
      <c r="B2260">
        <v>877</v>
      </c>
      <c r="C2260" t="s">
        <v>597</v>
      </c>
      <c r="D2260" t="s">
        <v>742</v>
      </c>
      <c r="E2260" t="s">
        <v>3827</v>
      </c>
      <c r="F2260">
        <v>353</v>
      </c>
      <c r="G2260">
        <v>223221</v>
      </c>
    </row>
    <row r="2261" spans="1:12" x14ac:dyDescent="0.35">
      <c r="A2261">
        <v>103521</v>
      </c>
      <c r="B2261">
        <v>618</v>
      </c>
      <c r="C2261" t="s">
        <v>597</v>
      </c>
      <c r="D2261" t="s">
        <v>742</v>
      </c>
      <c r="E2261" t="s">
        <v>3828</v>
      </c>
      <c r="F2261">
        <v>562</v>
      </c>
      <c r="G2261">
        <v>222873</v>
      </c>
    </row>
    <row r="2262" spans="1:12" x14ac:dyDescent="0.35">
      <c r="A2262">
        <v>103550</v>
      </c>
      <c r="B2262">
        <v>952</v>
      </c>
      <c r="C2262" t="s">
        <v>597</v>
      </c>
      <c r="D2262" t="s">
        <v>742</v>
      </c>
      <c r="E2262" t="s">
        <v>3829</v>
      </c>
      <c r="F2262">
        <v>193</v>
      </c>
    </row>
    <row r="2263" spans="1:12" x14ac:dyDescent="0.35">
      <c r="A2263">
        <v>102481</v>
      </c>
      <c r="B2263">
        <v>2413</v>
      </c>
      <c r="C2263" t="s">
        <v>597</v>
      </c>
      <c r="D2263" t="s">
        <v>603</v>
      </c>
      <c r="E2263" t="s">
        <v>3830</v>
      </c>
      <c r="G2263">
        <v>2261</v>
      </c>
    </row>
    <row r="2264" spans="1:12" x14ac:dyDescent="0.35">
      <c r="A2264">
        <v>104125</v>
      </c>
      <c r="B2264">
        <v>883</v>
      </c>
      <c r="C2264" t="s">
        <v>597</v>
      </c>
      <c r="D2264" t="s">
        <v>742</v>
      </c>
      <c r="E2264" t="s">
        <v>3831</v>
      </c>
      <c r="F2264">
        <v>502</v>
      </c>
      <c r="G2264">
        <v>1888</v>
      </c>
    </row>
    <row r="2265" spans="1:12" x14ac:dyDescent="0.35">
      <c r="A2265">
        <v>101322</v>
      </c>
      <c r="B2265">
        <v>2263</v>
      </c>
      <c r="C2265" t="s">
        <v>597</v>
      </c>
      <c r="D2265" t="s">
        <v>603</v>
      </c>
      <c r="E2265" t="s">
        <v>3832</v>
      </c>
    </row>
    <row r="2266" spans="1:12" x14ac:dyDescent="0.35">
      <c r="A2266">
        <v>101641</v>
      </c>
      <c r="B2266">
        <v>2273</v>
      </c>
      <c r="C2266" t="s">
        <v>602</v>
      </c>
      <c r="D2266" t="s">
        <v>3443</v>
      </c>
      <c r="E2266" t="s">
        <v>493</v>
      </c>
      <c r="F2266">
        <v>2060</v>
      </c>
      <c r="G2266">
        <v>218039</v>
      </c>
    </row>
    <row r="2267" spans="1:12" x14ac:dyDescent="0.35">
      <c r="A2267">
        <v>103922</v>
      </c>
      <c r="B2267">
        <v>1788</v>
      </c>
      <c r="C2267" t="s">
        <v>597</v>
      </c>
      <c r="D2267" t="s">
        <v>882</v>
      </c>
      <c r="E2267" t="s">
        <v>3833</v>
      </c>
    </row>
    <row r="2268" spans="1:12" x14ac:dyDescent="0.35">
      <c r="A2268">
        <v>104405</v>
      </c>
      <c r="B2268">
        <v>3467</v>
      </c>
      <c r="C2268" t="s">
        <v>597</v>
      </c>
      <c r="D2268" t="s">
        <v>603</v>
      </c>
      <c r="E2268" t="s">
        <v>3834</v>
      </c>
      <c r="F2268">
        <v>615321</v>
      </c>
      <c r="G2268">
        <v>229413</v>
      </c>
      <c r="L2268" t="s">
        <v>965</v>
      </c>
    </row>
    <row r="2269" spans="1:12" x14ac:dyDescent="0.35">
      <c r="A2269">
        <v>103100</v>
      </c>
      <c r="B2269">
        <v>2490</v>
      </c>
      <c r="C2269" t="s">
        <v>602</v>
      </c>
      <c r="D2269" t="s">
        <v>603</v>
      </c>
      <c r="E2269" t="s">
        <v>165</v>
      </c>
      <c r="G2269">
        <v>2033</v>
      </c>
    </row>
    <row r="2270" spans="1:12" x14ac:dyDescent="0.35">
      <c r="A2270">
        <v>104339</v>
      </c>
      <c r="B2270">
        <v>2657</v>
      </c>
      <c r="C2270" t="s">
        <v>602</v>
      </c>
      <c r="D2270" t="s">
        <v>603</v>
      </c>
      <c r="E2270" t="s">
        <v>3835</v>
      </c>
      <c r="G2270">
        <v>228661</v>
      </c>
    </row>
    <row r="2271" spans="1:12" x14ac:dyDescent="0.35">
      <c r="A2271">
        <v>102546</v>
      </c>
      <c r="B2271">
        <v>2423</v>
      </c>
      <c r="C2271" t="s">
        <v>602</v>
      </c>
      <c r="D2271" t="s">
        <v>603</v>
      </c>
      <c r="E2271" t="s">
        <v>379</v>
      </c>
      <c r="G2271">
        <v>221046</v>
      </c>
    </row>
    <row r="2272" spans="1:12" x14ac:dyDescent="0.35">
      <c r="A2272">
        <v>102447</v>
      </c>
      <c r="B2272">
        <v>2406</v>
      </c>
      <c r="C2272" t="s">
        <v>597</v>
      </c>
      <c r="D2272" t="s">
        <v>603</v>
      </c>
      <c r="E2272" t="s">
        <v>3836</v>
      </c>
      <c r="G2272">
        <v>2060</v>
      </c>
    </row>
    <row r="2273" spans="1:12" x14ac:dyDescent="0.35">
      <c r="A2273">
        <v>103901</v>
      </c>
      <c r="B2273">
        <v>2586</v>
      </c>
      <c r="C2273" t="s">
        <v>602</v>
      </c>
      <c r="D2273" t="s">
        <v>603</v>
      </c>
      <c r="E2273" t="s">
        <v>3837</v>
      </c>
      <c r="G2273">
        <v>225281</v>
      </c>
    </row>
    <row r="2274" spans="1:12" x14ac:dyDescent="0.35">
      <c r="A2274">
        <v>104341</v>
      </c>
      <c r="B2274">
        <v>2660</v>
      </c>
      <c r="C2274" t="s">
        <v>597</v>
      </c>
      <c r="D2274" t="s">
        <v>603</v>
      </c>
      <c r="E2274" t="s">
        <v>3838</v>
      </c>
      <c r="F2274">
        <v>615316</v>
      </c>
      <c r="G2274">
        <v>228666</v>
      </c>
    </row>
    <row r="2275" spans="1:12" x14ac:dyDescent="0.35">
      <c r="A2275">
        <v>103779</v>
      </c>
      <c r="B2275">
        <v>2570</v>
      </c>
      <c r="C2275" t="s">
        <v>602</v>
      </c>
      <c r="D2275" t="s">
        <v>603</v>
      </c>
      <c r="E2275" t="s">
        <v>233</v>
      </c>
      <c r="G2275">
        <v>276</v>
      </c>
    </row>
    <row r="2276" spans="1:12" x14ac:dyDescent="0.35">
      <c r="A2276">
        <v>103527</v>
      </c>
      <c r="B2276">
        <v>812</v>
      </c>
      <c r="C2276" t="s">
        <v>597</v>
      </c>
      <c r="D2276" t="s">
        <v>742</v>
      </c>
      <c r="E2276" t="s">
        <v>3839</v>
      </c>
      <c r="F2276">
        <v>556</v>
      </c>
      <c r="G2276">
        <v>222882</v>
      </c>
    </row>
    <row r="2277" spans="1:12" x14ac:dyDescent="0.35">
      <c r="A2277">
        <v>103106</v>
      </c>
      <c r="B2277">
        <v>2492</v>
      </c>
      <c r="C2277" t="s">
        <v>602</v>
      </c>
      <c r="D2277" t="s">
        <v>603</v>
      </c>
      <c r="E2277" t="s">
        <v>177</v>
      </c>
      <c r="F2277">
        <v>245301</v>
      </c>
      <c r="G2277">
        <v>219061</v>
      </c>
    </row>
    <row r="2278" spans="1:12" x14ac:dyDescent="0.35">
      <c r="A2278">
        <v>104500</v>
      </c>
      <c r="B2278">
        <v>3594</v>
      </c>
      <c r="C2278" t="s">
        <v>602</v>
      </c>
      <c r="D2278" t="s">
        <v>962</v>
      </c>
      <c r="E2278" t="s">
        <v>3840</v>
      </c>
      <c r="G2278">
        <v>229727</v>
      </c>
      <c r="H2278" t="s">
        <v>964</v>
      </c>
      <c r="L2278" t="s">
        <v>980</v>
      </c>
    </row>
    <row r="2279" spans="1:12" x14ac:dyDescent="0.35">
      <c r="A2279">
        <v>0</v>
      </c>
      <c r="B2279">
        <v>3165</v>
      </c>
      <c r="C2279" t="s">
        <v>602</v>
      </c>
      <c r="D2279" t="s">
        <v>3402</v>
      </c>
      <c r="E2279" t="s">
        <v>3841</v>
      </c>
    </row>
    <row r="2280" spans="1:12" x14ac:dyDescent="0.35">
      <c r="A2280">
        <v>102743</v>
      </c>
      <c r="B2280">
        <v>2455</v>
      </c>
      <c r="C2280" t="s">
        <v>597</v>
      </c>
      <c r="D2280" t="s">
        <v>603</v>
      </c>
      <c r="E2280" t="s">
        <v>3842</v>
      </c>
      <c r="G2280">
        <v>221609</v>
      </c>
    </row>
    <row r="2281" spans="1:12" x14ac:dyDescent="0.35">
      <c r="A2281">
        <v>103794</v>
      </c>
      <c r="B2281">
        <v>853</v>
      </c>
      <c r="C2281" t="s">
        <v>597</v>
      </c>
      <c r="D2281" t="s">
        <v>742</v>
      </c>
      <c r="E2281" t="s">
        <v>3843</v>
      </c>
      <c r="F2281">
        <v>590</v>
      </c>
    </row>
    <row r="2282" spans="1:12" x14ac:dyDescent="0.35">
      <c r="A2282">
        <v>101083</v>
      </c>
      <c r="B2282">
        <v>2235</v>
      </c>
      <c r="C2282" t="s">
        <v>602</v>
      </c>
      <c r="D2282" t="s">
        <v>603</v>
      </c>
      <c r="E2282" t="s">
        <v>117</v>
      </c>
      <c r="G2282">
        <v>757</v>
      </c>
    </row>
    <row r="2283" spans="1:12" x14ac:dyDescent="0.35">
      <c r="A2283">
        <v>103699</v>
      </c>
      <c r="B2283">
        <v>706</v>
      </c>
      <c r="C2283" t="s">
        <v>597</v>
      </c>
      <c r="D2283" t="s">
        <v>742</v>
      </c>
      <c r="E2283" t="s">
        <v>3844</v>
      </c>
      <c r="F2283">
        <v>234</v>
      </c>
      <c r="G2283">
        <v>222944</v>
      </c>
    </row>
    <row r="2284" spans="1:12" x14ac:dyDescent="0.35">
      <c r="A2284">
        <v>102670</v>
      </c>
      <c r="B2284">
        <v>1333</v>
      </c>
      <c r="C2284" t="s">
        <v>597</v>
      </c>
      <c r="D2284" t="s">
        <v>3845</v>
      </c>
      <c r="E2284" t="s">
        <v>3846</v>
      </c>
      <c r="G2284">
        <v>1934</v>
      </c>
    </row>
    <row r="2285" spans="1:12" x14ac:dyDescent="0.35">
      <c r="A2285">
        <v>104493</v>
      </c>
      <c r="B2285">
        <v>3593</v>
      </c>
      <c r="C2285" t="s">
        <v>602</v>
      </c>
      <c r="D2285" t="s">
        <v>962</v>
      </c>
      <c r="E2285" t="s">
        <v>3847</v>
      </c>
      <c r="F2285">
        <v>6649</v>
      </c>
      <c r="G2285">
        <v>229693</v>
      </c>
      <c r="H2285" t="s">
        <v>964</v>
      </c>
      <c r="L2285" t="s">
        <v>980</v>
      </c>
    </row>
    <row r="2286" spans="1:12" x14ac:dyDescent="0.35">
      <c r="A2286">
        <v>1044990</v>
      </c>
      <c r="B2286">
        <v>3592</v>
      </c>
      <c r="C2286" t="s">
        <v>602</v>
      </c>
      <c r="D2286" t="s">
        <v>1066</v>
      </c>
      <c r="E2286" t="s">
        <v>3848</v>
      </c>
      <c r="F2286">
        <v>7503</v>
      </c>
      <c r="G2286">
        <v>229729</v>
      </c>
      <c r="L2286" t="s">
        <v>965</v>
      </c>
    </row>
    <row r="2287" spans="1:12" x14ac:dyDescent="0.35">
      <c r="A2287">
        <v>104081</v>
      </c>
      <c r="B2287">
        <v>926</v>
      </c>
      <c r="C2287" t="s">
        <v>597</v>
      </c>
      <c r="D2287" t="s">
        <v>742</v>
      </c>
      <c r="E2287" t="s">
        <v>3849</v>
      </c>
      <c r="F2287">
        <v>497</v>
      </c>
      <c r="G2287">
        <v>226325</v>
      </c>
    </row>
    <row r="2288" spans="1:12" x14ac:dyDescent="0.35">
      <c r="A2288">
        <v>103076</v>
      </c>
      <c r="B2288">
        <v>849</v>
      </c>
      <c r="C2288" t="s">
        <v>597</v>
      </c>
      <c r="D2288" t="s">
        <v>742</v>
      </c>
      <c r="E2288" t="s">
        <v>3850</v>
      </c>
      <c r="F2288">
        <v>560</v>
      </c>
      <c r="G2288">
        <v>221420</v>
      </c>
    </row>
    <row r="2289" spans="1:7" x14ac:dyDescent="0.35">
      <c r="A2289">
        <v>104005</v>
      </c>
      <c r="B2289">
        <v>828</v>
      </c>
      <c r="C2289" t="s">
        <v>597</v>
      </c>
      <c r="D2289" t="s">
        <v>742</v>
      </c>
      <c r="E2289" t="s">
        <v>3851</v>
      </c>
      <c r="F2289">
        <v>414</v>
      </c>
    </row>
    <row r="2290" spans="1:7" x14ac:dyDescent="0.35">
      <c r="A2290">
        <v>104100</v>
      </c>
      <c r="B2290">
        <v>807</v>
      </c>
      <c r="C2290" t="s">
        <v>597</v>
      </c>
      <c r="D2290" t="s">
        <v>742</v>
      </c>
      <c r="E2290" t="s">
        <v>3852</v>
      </c>
      <c r="F2290">
        <v>284</v>
      </c>
    </row>
    <row r="2291" spans="1:7" x14ac:dyDescent="0.35">
      <c r="A2291">
        <v>101684</v>
      </c>
      <c r="B2291">
        <v>1309</v>
      </c>
      <c r="C2291" t="s">
        <v>597</v>
      </c>
      <c r="D2291" t="s">
        <v>3417</v>
      </c>
      <c r="E2291" t="s">
        <v>3853</v>
      </c>
      <c r="G2291">
        <v>1947</v>
      </c>
    </row>
    <row r="2292" spans="1:7" x14ac:dyDescent="0.35">
      <c r="A2292">
        <v>103684</v>
      </c>
      <c r="B2292">
        <v>943</v>
      </c>
      <c r="C2292" t="s">
        <v>597</v>
      </c>
      <c r="D2292" t="s">
        <v>742</v>
      </c>
      <c r="E2292" t="s">
        <v>3854</v>
      </c>
      <c r="F2292">
        <v>173</v>
      </c>
    </row>
    <row r="2293" spans="1:7" x14ac:dyDescent="0.35">
      <c r="A2293">
        <v>102476</v>
      </c>
      <c r="B2293">
        <v>953</v>
      </c>
      <c r="C2293" t="s">
        <v>597</v>
      </c>
      <c r="D2293" t="s">
        <v>742</v>
      </c>
      <c r="E2293" t="s">
        <v>3855</v>
      </c>
      <c r="F2293">
        <v>150</v>
      </c>
    </row>
    <row r="2294" spans="1:7" x14ac:dyDescent="0.35">
      <c r="A2294">
        <v>0</v>
      </c>
      <c r="B2294">
        <v>1706</v>
      </c>
      <c r="C2294" t="s">
        <v>1308</v>
      </c>
      <c r="D2294" t="s">
        <v>3443</v>
      </c>
      <c r="E2294" t="s">
        <v>3856</v>
      </c>
    </row>
    <row r="2295" spans="1:7" x14ac:dyDescent="0.35">
      <c r="A2295">
        <v>104031</v>
      </c>
      <c r="B2295">
        <v>2606</v>
      </c>
      <c r="C2295" t="s">
        <v>597</v>
      </c>
      <c r="D2295" t="s">
        <v>603</v>
      </c>
      <c r="E2295" t="s">
        <v>3857</v>
      </c>
      <c r="F2295">
        <v>615312</v>
      </c>
      <c r="G2295">
        <v>2258</v>
      </c>
    </row>
    <row r="2296" spans="1:7" x14ac:dyDescent="0.35">
      <c r="A2296">
        <v>104090</v>
      </c>
      <c r="B2296">
        <v>776</v>
      </c>
      <c r="C2296" t="s">
        <v>597</v>
      </c>
      <c r="D2296" t="s">
        <v>742</v>
      </c>
      <c r="E2296" t="s">
        <v>3858</v>
      </c>
      <c r="F2296">
        <v>604</v>
      </c>
      <c r="G2296">
        <v>226262</v>
      </c>
    </row>
    <row r="2297" spans="1:7" x14ac:dyDescent="0.35">
      <c r="A2297">
        <v>104076</v>
      </c>
      <c r="B2297">
        <v>836</v>
      </c>
      <c r="C2297" t="s">
        <v>597</v>
      </c>
      <c r="D2297" t="s">
        <v>742</v>
      </c>
      <c r="E2297" t="s">
        <v>3859</v>
      </c>
      <c r="F2297">
        <v>371</v>
      </c>
    </row>
    <row r="2298" spans="1:7" x14ac:dyDescent="0.35">
      <c r="A2298">
        <v>104198</v>
      </c>
      <c r="B2298">
        <v>629</v>
      </c>
      <c r="C2298" t="s">
        <v>597</v>
      </c>
      <c r="D2298" t="s">
        <v>742</v>
      </c>
      <c r="E2298" t="s">
        <v>3860</v>
      </c>
      <c r="F2298">
        <v>207</v>
      </c>
      <c r="G2298">
        <v>227027</v>
      </c>
    </row>
    <row r="2299" spans="1:7" x14ac:dyDescent="0.35">
      <c r="A2299">
        <v>103544</v>
      </c>
      <c r="B2299">
        <v>755</v>
      </c>
      <c r="C2299" t="s">
        <v>597</v>
      </c>
      <c r="D2299" t="s">
        <v>742</v>
      </c>
      <c r="E2299" t="s">
        <v>3861</v>
      </c>
      <c r="F2299">
        <v>433</v>
      </c>
      <c r="G2299">
        <v>222916</v>
      </c>
    </row>
    <row r="2300" spans="1:7" x14ac:dyDescent="0.35">
      <c r="A2300">
        <v>103518</v>
      </c>
      <c r="B2300">
        <v>818</v>
      </c>
      <c r="C2300" t="s">
        <v>597</v>
      </c>
      <c r="D2300" t="s">
        <v>742</v>
      </c>
      <c r="E2300" t="s">
        <v>3862</v>
      </c>
      <c r="F2300">
        <v>406</v>
      </c>
    </row>
    <row r="2301" spans="1:7" x14ac:dyDescent="0.35">
      <c r="A2301">
        <v>103390</v>
      </c>
      <c r="B2301">
        <v>1539</v>
      </c>
      <c r="C2301" t="s">
        <v>597</v>
      </c>
      <c r="D2301" t="s">
        <v>1066</v>
      </c>
      <c r="E2301" t="s">
        <v>3863</v>
      </c>
    </row>
    <row r="2302" spans="1:7" x14ac:dyDescent="0.35">
      <c r="A2302">
        <v>102968</v>
      </c>
      <c r="B2302">
        <v>2476</v>
      </c>
      <c r="C2302" t="s">
        <v>602</v>
      </c>
      <c r="D2302" t="s">
        <v>603</v>
      </c>
      <c r="E2302" t="s">
        <v>3864</v>
      </c>
      <c r="G2302">
        <v>218435</v>
      </c>
    </row>
    <row r="2303" spans="1:7" x14ac:dyDescent="0.35">
      <c r="A2303">
        <v>104121</v>
      </c>
      <c r="B2303">
        <v>867</v>
      </c>
      <c r="C2303" t="s">
        <v>597</v>
      </c>
      <c r="D2303" t="s">
        <v>742</v>
      </c>
      <c r="E2303" t="s">
        <v>3865</v>
      </c>
      <c r="F2303">
        <v>169</v>
      </c>
    </row>
    <row r="2304" spans="1:7" x14ac:dyDescent="0.35">
      <c r="A2304">
        <v>103472</v>
      </c>
      <c r="B2304">
        <v>833</v>
      </c>
      <c r="C2304" t="s">
        <v>597</v>
      </c>
      <c r="D2304" t="s">
        <v>742</v>
      </c>
      <c r="E2304" t="s">
        <v>3866</v>
      </c>
      <c r="F2304">
        <v>383</v>
      </c>
      <c r="G2304">
        <v>222782</v>
      </c>
    </row>
    <row r="2305" spans="1:7" x14ac:dyDescent="0.35">
      <c r="A2305">
        <v>104338</v>
      </c>
      <c r="B2305">
        <v>2658</v>
      </c>
      <c r="C2305" t="s">
        <v>602</v>
      </c>
      <c r="D2305" t="s">
        <v>603</v>
      </c>
      <c r="E2305" t="s">
        <v>3867</v>
      </c>
      <c r="G2305">
        <v>228656</v>
      </c>
    </row>
    <row r="2306" spans="1:7" x14ac:dyDescent="0.35">
      <c r="A2306">
        <v>101941</v>
      </c>
      <c r="B2306">
        <v>2328</v>
      </c>
      <c r="C2306" t="s">
        <v>602</v>
      </c>
      <c r="D2306" t="s">
        <v>603</v>
      </c>
      <c r="E2306" t="s">
        <v>3868</v>
      </c>
      <c r="G2306">
        <v>220367</v>
      </c>
    </row>
    <row r="2307" spans="1:7" x14ac:dyDescent="0.35">
      <c r="A2307">
        <v>0</v>
      </c>
      <c r="B2307">
        <v>3518</v>
      </c>
      <c r="C2307" t="s">
        <v>602</v>
      </c>
      <c r="D2307" t="s">
        <v>3402</v>
      </c>
      <c r="E2307" t="s">
        <v>3869</v>
      </c>
      <c r="G2307">
        <v>0</v>
      </c>
    </row>
    <row r="2308" spans="1:7" x14ac:dyDescent="0.35">
      <c r="A2308">
        <v>102328</v>
      </c>
      <c r="B2308">
        <v>2390</v>
      </c>
      <c r="C2308" t="s">
        <v>602</v>
      </c>
      <c r="D2308" t="s">
        <v>603</v>
      </c>
      <c r="E2308" t="s">
        <v>3870</v>
      </c>
      <c r="G2308">
        <v>221371</v>
      </c>
    </row>
    <row r="2309" spans="1:7" x14ac:dyDescent="0.35">
      <c r="A2309">
        <v>104384</v>
      </c>
      <c r="B2309">
        <v>3370</v>
      </c>
      <c r="C2309" t="s">
        <v>602</v>
      </c>
      <c r="D2309" t="s">
        <v>603</v>
      </c>
      <c r="E2309" t="s">
        <v>3871</v>
      </c>
      <c r="G2309">
        <v>220442</v>
      </c>
    </row>
    <row r="2310" spans="1:7" x14ac:dyDescent="0.35">
      <c r="A2310">
        <v>102378</v>
      </c>
      <c r="B2310">
        <v>2077</v>
      </c>
      <c r="C2310" t="s">
        <v>597</v>
      </c>
      <c r="D2310" t="s">
        <v>598</v>
      </c>
      <c r="E2310" t="s">
        <v>3872</v>
      </c>
      <c r="G2310">
        <v>2323</v>
      </c>
    </row>
    <row r="2311" spans="1:7" x14ac:dyDescent="0.35">
      <c r="A2311">
        <v>101709</v>
      </c>
      <c r="B2311">
        <v>2280</v>
      </c>
      <c r="C2311" t="s">
        <v>602</v>
      </c>
      <c r="D2311" t="s">
        <v>603</v>
      </c>
      <c r="E2311" t="s">
        <v>355</v>
      </c>
      <c r="G2311">
        <v>218712</v>
      </c>
    </row>
    <row r="2312" spans="1:7" x14ac:dyDescent="0.35">
      <c r="A2312">
        <v>104311</v>
      </c>
      <c r="B2312">
        <v>593</v>
      </c>
      <c r="C2312" t="s">
        <v>597</v>
      </c>
      <c r="D2312" t="s">
        <v>742</v>
      </c>
      <c r="E2312" t="s">
        <v>3873</v>
      </c>
      <c r="F2312">
        <v>647</v>
      </c>
    </row>
    <row r="2313" spans="1:7" x14ac:dyDescent="0.35">
      <c r="A2313">
        <v>103796</v>
      </c>
      <c r="B2313">
        <v>2578</v>
      </c>
      <c r="C2313" t="s">
        <v>597</v>
      </c>
      <c r="D2313" t="s">
        <v>603</v>
      </c>
      <c r="E2313" t="s">
        <v>3874</v>
      </c>
    </row>
    <row r="2314" spans="1:7" x14ac:dyDescent="0.35">
      <c r="A2314">
        <v>103231</v>
      </c>
      <c r="B2314">
        <v>2509</v>
      </c>
      <c r="C2314" t="s">
        <v>602</v>
      </c>
      <c r="D2314" t="s">
        <v>603</v>
      </c>
      <c r="E2314" t="s">
        <v>282</v>
      </c>
      <c r="G2314">
        <v>222318</v>
      </c>
    </row>
    <row r="2315" spans="1:7" x14ac:dyDescent="0.35">
      <c r="A2315">
        <v>104040</v>
      </c>
      <c r="B2315">
        <v>842</v>
      </c>
      <c r="C2315" t="s">
        <v>597</v>
      </c>
      <c r="D2315" t="s">
        <v>742</v>
      </c>
      <c r="E2315" t="s">
        <v>3875</v>
      </c>
      <c r="F2315">
        <v>188</v>
      </c>
      <c r="G2315">
        <v>21534</v>
      </c>
    </row>
    <row r="2316" spans="1:7" x14ac:dyDescent="0.35">
      <c r="A2316">
        <v>102356</v>
      </c>
      <c r="B2316">
        <v>649</v>
      </c>
      <c r="C2316" t="s">
        <v>597</v>
      </c>
      <c r="D2316" t="s">
        <v>742</v>
      </c>
      <c r="E2316" t="s">
        <v>3876</v>
      </c>
      <c r="F2316">
        <v>539</v>
      </c>
      <c r="G2316">
        <v>220785</v>
      </c>
    </row>
    <row r="2317" spans="1:7" x14ac:dyDescent="0.35">
      <c r="A2317">
        <v>101243</v>
      </c>
      <c r="B2317">
        <v>2255</v>
      </c>
      <c r="C2317" t="s">
        <v>602</v>
      </c>
      <c r="D2317" t="s">
        <v>603</v>
      </c>
      <c r="E2317" t="s">
        <v>29</v>
      </c>
      <c r="G2317">
        <v>1564</v>
      </c>
    </row>
    <row r="2318" spans="1:7" x14ac:dyDescent="0.35">
      <c r="A2318">
        <v>103897</v>
      </c>
      <c r="B2318">
        <v>704</v>
      </c>
      <c r="C2318" t="s">
        <v>597</v>
      </c>
      <c r="D2318" t="s">
        <v>742</v>
      </c>
      <c r="E2318" t="s">
        <v>3877</v>
      </c>
      <c r="F2318">
        <v>185</v>
      </c>
      <c r="G2318">
        <v>22978</v>
      </c>
    </row>
    <row r="2319" spans="1:7" x14ac:dyDescent="0.35">
      <c r="A2319">
        <v>103548</v>
      </c>
      <c r="B2319">
        <v>792</v>
      </c>
      <c r="C2319" t="s">
        <v>597</v>
      </c>
      <c r="D2319" t="s">
        <v>742</v>
      </c>
      <c r="E2319" t="s">
        <v>3878</v>
      </c>
      <c r="F2319">
        <v>518</v>
      </c>
    </row>
    <row r="2320" spans="1:7" x14ac:dyDescent="0.35">
      <c r="A2320">
        <v>104122</v>
      </c>
      <c r="B2320">
        <v>814</v>
      </c>
      <c r="C2320" t="s">
        <v>597</v>
      </c>
      <c r="D2320" t="s">
        <v>742</v>
      </c>
      <c r="E2320" t="s">
        <v>3879</v>
      </c>
      <c r="F2320">
        <v>287</v>
      </c>
    </row>
    <row r="2321" spans="1:12" x14ac:dyDescent="0.35">
      <c r="A2321">
        <v>102278</v>
      </c>
      <c r="B2321">
        <v>2378</v>
      </c>
      <c r="C2321" t="s">
        <v>602</v>
      </c>
      <c r="D2321" t="s">
        <v>603</v>
      </c>
      <c r="E2321" t="s">
        <v>3880</v>
      </c>
      <c r="F2321">
        <v>610306</v>
      </c>
      <c r="G2321">
        <v>1352</v>
      </c>
    </row>
    <row r="2322" spans="1:12" x14ac:dyDescent="0.35">
      <c r="A2322">
        <v>102311</v>
      </c>
      <c r="B2322">
        <v>756</v>
      </c>
      <c r="C2322" t="s">
        <v>602</v>
      </c>
      <c r="D2322" t="s">
        <v>1336</v>
      </c>
      <c r="E2322" t="s">
        <v>3881</v>
      </c>
      <c r="F2322">
        <v>261</v>
      </c>
      <c r="G2322">
        <v>1444</v>
      </c>
      <c r="H2322" t="s">
        <v>1458</v>
      </c>
      <c r="K2322" t="s">
        <v>3882</v>
      </c>
      <c r="L2322" t="s">
        <v>965</v>
      </c>
    </row>
    <row r="2323" spans="1:12" x14ac:dyDescent="0.35">
      <c r="A2323">
        <v>465</v>
      </c>
      <c r="B2323">
        <v>3569</v>
      </c>
      <c r="C2323" t="s">
        <v>602</v>
      </c>
      <c r="E2323" t="s">
        <v>3883</v>
      </c>
      <c r="G2323">
        <v>227368</v>
      </c>
      <c r="L2323" t="s">
        <v>965</v>
      </c>
    </row>
    <row r="2324" spans="1:12" x14ac:dyDescent="0.35">
      <c r="A2324">
        <v>101965</v>
      </c>
      <c r="B2324">
        <v>2334</v>
      </c>
      <c r="C2324" t="s">
        <v>602</v>
      </c>
      <c r="D2324" t="s">
        <v>603</v>
      </c>
      <c r="E2324" t="s">
        <v>539</v>
      </c>
      <c r="G2324">
        <v>927</v>
      </c>
    </row>
    <row r="2325" spans="1:12" x14ac:dyDescent="0.35">
      <c r="A2325">
        <v>0</v>
      </c>
      <c r="B2325">
        <v>2648</v>
      </c>
      <c r="C2325" t="s">
        <v>602</v>
      </c>
      <c r="D2325" t="s">
        <v>3884</v>
      </c>
      <c r="E2325" t="s">
        <v>3885</v>
      </c>
      <c r="K2325" t="s">
        <v>3404</v>
      </c>
    </row>
    <row r="2326" spans="1:12" x14ac:dyDescent="0.35">
      <c r="A2326">
        <v>0</v>
      </c>
      <c r="B2326">
        <v>2673</v>
      </c>
      <c r="C2326" t="s">
        <v>602</v>
      </c>
      <c r="D2326" t="s">
        <v>3408</v>
      </c>
      <c r="E2326" t="s">
        <v>3886</v>
      </c>
    </row>
    <row r="2327" spans="1:12" x14ac:dyDescent="0.35">
      <c r="A2327">
        <v>102778</v>
      </c>
      <c r="B2327">
        <v>2465</v>
      </c>
      <c r="C2327" t="s">
        <v>602</v>
      </c>
      <c r="D2327" t="s">
        <v>603</v>
      </c>
      <c r="E2327" t="s">
        <v>437</v>
      </c>
      <c r="G2327">
        <v>22108</v>
      </c>
    </row>
    <row r="2328" spans="1:12" x14ac:dyDescent="0.35">
      <c r="A2328">
        <v>101652</v>
      </c>
      <c r="B2328">
        <v>841</v>
      </c>
      <c r="C2328" t="s">
        <v>597</v>
      </c>
      <c r="D2328" t="s">
        <v>742</v>
      </c>
      <c r="E2328" t="s">
        <v>3887</v>
      </c>
      <c r="F2328">
        <v>323</v>
      </c>
    </row>
    <row r="2329" spans="1:12" x14ac:dyDescent="0.35">
      <c r="A2329">
        <v>104013</v>
      </c>
      <c r="B2329">
        <v>2599</v>
      </c>
      <c r="C2329" t="s">
        <v>597</v>
      </c>
      <c r="D2329" t="s">
        <v>603</v>
      </c>
      <c r="E2329" t="s">
        <v>3888</v>
      </c>
      <c r="G2329">
        <v>226013</v>
      </c>
    </row>
    <row r="2330" spans="1:12" x14ac:dyDescent="0.35">
      <c r="A2330">
        <v>101908</v>
      </c>
      <c r="B2330">
        <v>2316</v>
      </c>
      <c r="C2330" t="s">
        <v>597</v>
      </c>
      <c r="D2330" t="s">
        <v>603</v>
      </c>
      <c r="E2330" t="s">
        <v>3889</v>
      </c>
      <c r="F2330">
        <v>615309</v>
      </c>
      <c r="G2330">
        <v>220149</v>
      </c>
    </row>
    <row r="2331" spans="1:12" x14ac:dyDescent="0.35">
      <c r="A2331">
        <v>104345</v>
      </c>
      <c r="B2331">
        <v>2667</v>
      </c>
      <c r="C2331" t="s">
        <v>597</v>
      </c>
      <c r="D2331" t="s">
        <v>882</v>
      </c>
      <c r="E2331" t="s">
        <v>3890</v>
      </c>
      <c r="F2331">
        <v>90133</v>
      </c>
      <c r="G2331">
        <v>228697</v>
      </c>
    </row>
    <row r="2332" spans="1:12" x14ac:dyDescent="0.35">
      <c r="A2332">
        <v>104346</v>
      </c>
      <c r="B2332">
        <v>2666</v>
      </c>
      <c r="C2332" t="s">
        <v>602</v>
      </c>
      <c r="D2332" t="s">
        <v>882</v>
      </c>
      <c r="E2332" t="s">
        <v>3891</v>
      </c>
      <c r="F2332">
        <v>90134</v>
      </c>
      <c r="G2332">
        <v>228699</v>
      </c>
    </row>
    <row r="2333" spans="1:12" x14ac:dyDescent="0.35">
      <c r="A2333">
        <v>104347</v>
      </c>
      <c r="B2333">
        <v>2683</v>
      </c>
      <c r="C2333" t="s">
        <v>597</v>
      </c>
      <c r="D2333" t="s">
        <v>882</v>
      </c>
      <c r="E2333" t="s">
        <v>3892</v>
      </c>
      <c r="F2333">
        <v>90135</v>
      </c>
      <c r="G2333">
        <v>228763</v>
      </c>
    </row>
    <row r="2334" spans="1:12" x14ac:dyDescent="0.35">
      <c r="A2334">
        <v>104229</v>
      </c>
      <c r="B2334">
        <v>2622</v>
      </c>
      <c r="C2334" t="s">
        <v>602</v>
      </c>
      <c r="D2334" t="s">
        <v>603</v>
      </c>
      <c r="E2334" t="s">
        <v>3893</v>
      </c>
    </row>
    <row r="2335" spans="1:12" x14ac:dyDescent="0.35">
      <c r="A2335">
        <v>0</v>
      </c>
      <c r="B2335">
        <v>3218</v>
      </c>
      <c r="C2335" t="s">
        <v>602</v>
      </c>
      <c r="D2335" t="s">
        <v>3351</v>
      </c>
      <c r="E2335" t="s">
        <v>3894</v>
      </c>
      <c r="G2335">
        <v>0</v>
      </c>
      <c r="H2335" t="s">
        <v>964</v>
      </c>
    </row>
    <row r="2336" spans="1:12" x14ac:dyDescent="0.35">
      <c r="A2336">
        <v>104218</v>
      </c>
      <c r="B2336">
        <v>2619</v>
      </c>
      <c r="C2336" t="s">
        <v>602</v>
      </c>
      <c r="D2336" t="s">
        <v>882</v>
      </c>
      <c r="E2336" t="s">
        <v>37</v>
      </c>
      <c r="G2336">
        <v>227191</v>
      </c>
    </row>
    <row r="2337" spans="1:8" x14ac:dyDescent="0.35">
      <c r="A2337">
        <v>102742</v>
      </c>
      <c r="B2337">
        <v>2454</v>
      </c>
      <c r="C2337" t="s">
        <v>602</v>
      </c>
      <c r="D2337" t="s">
        <v>603</v>
      </c>
      <c r="E2337" t="s">
        <v>387</v>
      </c>
      <c r="G2337">
        <v>902</v>
      </c>
    </row>
    <row r="2338" spans="1:8" x14ac:dyDescent="0.35">
      <c r="A2338">
        <v>104025</v>
      </c>
      <c r="B2338">
        <v>1889</v>
      </c>
      <c r="C2338" t="s">
        <v>597</v>
      </c>
      <c r="D2338" t="s">
        <v>1336</v>
      </c>
      <c r="E2338" t="s">
        <v>3895</v>
      </c>
      <c r="F2338">
        <v>601</v>
      </c>
      <c r="G2338">
        <v>226112</v>
      </c>
      <c r="H2338" t="s">
        <v>1458</v>
      </c>
    </row>
    <row r="2339" spans="1:8" x14ac:dyDescent="0.35">
      <c r="A2339">
        <v>103520</v>
      </c>
      <c r="B2339">
        <v>660</v>
      </c>
      <c r="C2339" t="s">
        <v>597</v>
      </c>
      <c r="D2339" t="s">
        <v>742</v>
      </c>
      <c r="E2339" t="s">
        <v>3896</v>
      </c>
      <c r="F2339">
        <v>154</v>
      </c>
    </row>
    <row r="2340" spans="1:8" x14ac:dyDescent="0.35">
      <c r="A2340">
        <v>103937</v>
      </c>
      <c r="B2340">
        <v>1801</v>
      </c>
      <c r="C2340" t="s">
        <v>602</v>
      </c>
      <c r="D2340" t="s">
        <v>882</v>
      </c>
      <c r="E2340" t="s">
        <v>3897</v>
      </c>
      <c r="G2340">
        <v>225469</v>
      </c>
    </row>
    <row r="2341" spans="1:8" x14ac:dyDescent="0.35">
      <c r="A2341">
        <v>103425</v>
      </c>
      <c r="B2341">
        <v>1568</v>
      </c>
      <c r="C2341" t="s">
        <v>597</v>
      </c>
      <c r="D2341" t="s">
        <v>1066</v>
      </c>
      <c r="E2341" t="s">
        <v>3898</v>
      </c>
    </row>
    <row r="2342" spans="1:8" x14ac:dyDescent="0.35">
      <c r="A2342">
        <v>104084</v>
      </c>
      <c r="B2342">
        <v>637</v>
      </c>
      <c r="C2342" t="s">
        <v>597</v>
      </c>
      <c r="D2342" t="s">
        <v>742</v>
      </c>
      <c r="E2342" t="s">
        <v>3899</v>
      </c>
      <c r="F2342">
        <v>245</v>
      </c>
      <c r="G2342">
        <v>220320</v>
      </c>
    </row>
    <row r="2343" spans="1:8" x14ac:dyDescent="0.35">
      <c r="A2343">
        <v>103750</v>
      </c>
      <c r="B2343">
        <v>729</v>
      </c>
      <c r="C2343" t="s">
        <v>597</v>
      </c>
      <c r="D2343" t="s">
        <v>742</v>
      </c>
      <c r="E2343" t="s">
        <v>3900</v>
      </c>
      <c r="F2343">
        <v>283</v>
      </c>
    </row>
    <row r="2344" spans="1:8" x14ac:dyDescent="0.35">
      <c r="A2344">
        <v>104080</v>
      </c>
      <c r="B2344">
        <v>925</v>
      </c>
      <c r="C2344" t="s">
        <v>597</v>
      </c>
      <c r="D2344" t="s">
        <v>742</v>
      </c>
      <c r="E2344" t="s">
        <v>3901</v>
      </c>
      <c r="F2344">
        <v>495</v>
      </c>
      <c r="G2344">
        <v>226324</v>
      </c>
    </row>
    <row r="2345" spans="1:8" x14ac:dyDescent="0.35">
      <c r="A2345">
        <v>0</v>
      </c>
      <c r="B2345">
        <v>3475</v>
      </c>
      <c r="C2345" t="s">
        <v>602</v>
      </c>
      <c r="D2345" t="s">
        <v>1301</v>
      </c>
      <c r="E2345" t="s">
        <v>3902</v>
      </c>
      <c r="G2345">
        <v>0</v>
      </c>
    </row>
    <row r="2346" spans="1:8" x14ac:dyDescent="0.35">
      <c r="A2346">
        <v>104296</v>
      </c>
      <c r="B2346">
        <v>2640</v>
      </c>
      <c r="C2346" t="s">
        <v>602</v>
      </c>
      <c r="D2346" t="s">
        <v>603</v>
      </c>
      <c r="E2346" t="s">
        <v>3903</v>
      </c>
      <c r="G2346">
        <v>22545</v>
      </c>
    </row>
    <row r="2347" spans="1:8" x14ac:dyDescent="0.35">
      <c r="A2347">
        <v>103532</v>
      </c>
      <c r="B2347">
        <v>712</v>
      </c>
      <c r="C2347" t="s">
        <v>597</v>
      </c>
      <c r="D2347" t="s">
        <v>742</v>
      </c>
      <c r="E2347" t="s">
        <v>3904</v>
      </c>
      <c r="F2347">
        <v>564</v>
      </c>
    </row>
    <row r="2348" spans="1:8" x14ac:dyDescent="0.35">
      <c r="A2348">
        <v>103947</v>
      </c>
      <c r="B2348">
        <v>1811</v>
      </c>
      <c r="C2348" t="s">
        <v>602</v>
      </c>
      <c r="D2348" t="s">
        <v>882</v>
      </c>
      <c r="E2348" t="s">
        <v>3905</v>
      </c>
      <c r="G2348">
        <v>225477</v>
      </c>
    </row>
    <row r="2349" spans="1:8" x14ac:dyDescent="0.35">
      <c r="A2349">
        <v>101835</v>
      </c>
      <c r="B2349">
        <v>2295</v>
      </c>
      <c r="C2349" t="s">
        <v>597</v>
      </c>
      <c r="D2349" t="s">
        <v>603</v>
      </c>
      <c r="E2349" t="s">
        <v>3906</v>
      </c>
    </row>
    <row r="2350" spans="1:8" x14ac:dyDescent="0.35">
      <c r="A2350">
        <v>103959</v>
      </c>
      <c r="B2350">
        <v>1822</v>
      </c>
      <c r="C2350" t="s">
        <v>602</v>
      </c>
      <c r="D2350" t="s">
        <v>882</v>
      </c>
      <c r="E2350" t="s">
        <v>3907</v>
      </c>
      <c r="G2350">
        <v>225467</v>
      </c>
    </row>
    <row r="2351" spans="1:8" x14ac:dyDescent="0.35">
      <c r="A2351">
        <v>0</v>
      </c>
      <c r="B2351">
        <v>3389</v>
      </c>
      <c r="C2351" t="s">
        <v>602</v>
      </c>
      <c r="D2351" t="s">
        <v>3402</v>
      </c>
      <c r="E2351" t="s">
        <v>3908</v>
      </c>
      <c r="G2351">
        <v>0</v>
      </c>
    </row>
    <row r="2352" spans="1:8" x14ac:dyDescent="0.35">
      <c r="A2352">
        <v>103945</v>
      </c>
      <c r="B2352">
        <v>1809</v>
      </c>
      <c r="C2352" t="s">
        <v>602</v>
      </c>
      <c r="D2352" t="s">
        <v>882</v>
      </c>
      <c r="E2352" t="s">
        <v>3909</v>
      </c>
      <c r="G2352">
        <v>225478</v>
      </c>
    </row>
    <row r="2353" spans="1:7" x14ac:dyDescent="0.35">
      <c r="A2353">
        <v>101994</v>
      </c>
      <c r="B2353">
        <v>2338</v>
      </c>
      <c r="C2353" t="s">
        <v>597</v>
      </c>
      <c r="D2353" t="s">
        <v>603</v>
      </c>
      <c r="E2353" t="s">
        <v>3910</v>
      </c>
      <c r="F2353">
        <v>825</v>
      </c>
      <c r="G2353">
        <v>271</v>
      </c>
    </row>
    <row r="2354" spans="1:7" x14ac:dyDescent="0.35">
      <c r="A2354">
        <v>103461</v>
      </c>
      <c r="B2354">
        <v>1597</v>
      </c>
      <c r="C2354" t="s">
        <v>597</v>
      </c>
      <c r="D2354" t="s">
        <v>1066</v>
      </c>
      <c r="E2354" t="s">
        <v>3911</v>
      </c>
    </row>
    <row r="2355" spans="1:7" x14ac:dyDescent="0.35">
      <c r="A2355">
        <v>103825</v>
      </c>
      <c r="B2355">
        <v>1745</v>
      </c>
      <c r="C2355" t="s">
        <v>597</v>
      </c>
      <c r="D2355" t="s">
        <v>2003</v>
      </c>
      <c r="E2355" t="s">
        <v>3912</v>
      </c>
      <c r="F2355">
        <v>2047</v>
      </c>
    </row>
    <row r="2356" spans="1:7" x14ac:dyDescent="0.35">
      <c r="A2356">
        <v>101710</v>
      </c>
      <c r="B2356">
        <v>612</v>
      </c>
      <c r="C2356" t="s">
        <v>597</v>
      </c>
      <c r="D2356" t="s">
        <v>742</v>
      </c>
      <c r="E2356" t="s">
        <v>3913</v>
      </c>
      <c r="F2356">
        <v>529</v>
      </c>
    </row>
    <row r="2357" spans="1:7" x14ac:dyDescent="0.35">
      <c r="A2357">
        <v>103626</v>
      </c>
      <c r="B2357">
        <v>2551</v>
      </c>
      <c r="C2357" t="s">
        <v>597</v>
      </c>
      <c r="D2357" t="s">
        <v>603</v>
      </c>
      <c r="E2357" t="s">
        <v>3914</v>
      </c>
      <c r="G2357">
        <v>2050</v>
      </c>
    </row>
    <row r="2358" spans="1:7" x14ac:dyDescent="0.35">
      <c r="A2358">
        <v>103948</v>
      </c>
      <c r="B2358">
        <v>1812</v>
      </c>
      <c r="C2358" t="s">
        <v>602</v>
      </c>
      <c r="D2358" t="s">
        <v>882</v>
      </c>
      <c r="E2358" t="s">
        <v>3915</v>
      </c>
      <c r="G2358">
        <v>225475</v>
      </c>
    </row>
    <row r="2359" spans="1:7" x14ac:dyDescent="0.35">
      <c r="A2359">
        <v>102704</v>
      </c>
      <c r="B2359">
        <v>2447</v>
      </c>
      <c r="C2359" t="s">
        <v>597</v>
      </c>
      <c r="D2359" t="s">
        <v>603</v>
      </c>
      <c r="E2359" t="s">
        <v>3916</v>
      </c>
    </row>
    <row r="2360" spans="1:7" x14ac:dyDescent="0.35">
      <c r="A2360">
        <v>101712</v>
      </c>
      <c r="B2360">
        <v>845</v>
      </c>
      <c r="C2360" t="s">
        <v>597</v>
      </c>
      <c r="D2360" t="s">
        <v>742</v>
      </c>
      <c r="E2360" t="s">
        <v>3917</v>
      </c>
      <c r="F2360">
        <v>360</v>
      </c>
    </row>
    <row r="2361" spans="1:7" x14ac:dyDescent="0.35">
      <c r="A2361">
        <v>101656</v>
      </c>
      <c r="B2361">
        <v>946</v>
      </c>
      <c r="C2361" t="s">
        <v>597</v>
      </c>
      <c r="D2361" t="s">
        <v>742</v>
      </c>
      <c r="E2361" t="s">
        <v>3918</v>
      </c>
      <c r="F2361">
        <v>346</v>
      </c>
      <c r="G2361">
        <v>2036</v>
      </c>
    </row>
    <row r="2362" spans="1:7" x14ac:dyDescent="0.35">
      <c r="A2362">
        <v>103925</v>
      </c>
      <c r="B2362">
        <v>1790</v>
      </c>
      <c r="C2362" t="s">
        <v>602</v>
      </c>
      <c r="D2362" t="s">
        <v>882</v>
      </c>
      <c r="E2362" t="s">
        <v>3919</v>
      </c>
      <c r="G2362">
        <v>225432</v>
      </c>
    </row>
    <row r="2363" spans="1:7" x14ac:dyDescent="0.35">
      <c r="A2363">
        <v>101696</v>
      </c>
      <c r="B2363">
        <v>1320</v>
      </c>
      <c r="C2363" t="s">
        <v>597</v>
      </c>
      <c r="D2363" t="s">
        <v>3417</v>
      </c>
      <c r="E2363" t="s">
        <v>3920</v>
      </c>
      <c r="G2363">
        <v>218092</v>
      </c>
    </row>
    <row r="2364" spans="1:7" x14ac:dyDescent="0.35">
      <c r="A2364">
        <v>103955</v>
      </c>
      <c r="B2364">
        <v>1818</v>
      </c>
      <c r="C2364" t="s">
        <v>597</v>
      </c>
      <c r="D2364" t="s">
        <v>882</v>
      </c>
      <c r="E2364" t="s">
        <v>3921</v>
      </c>
      <c r="G2364">
        <v>225472</v>
      </c>
    </row>
    <row r="2365" spans="1:7" x14ac:dyDescent="0.35">
      <c r="A2365">
        <v>104249</v>
      </c>
      <c r="B2365">
        <v>782</v>
      </c>
      <c r="C2365" t="s">
        <v>597</v>
      </c>
      <c r="D2365" t="s">
        <v>742</v>
      </c>
      <c r="E2365" t="s">
        <v>3922</v>
      </c>
      <c r="F2365">
        <v>635</v>
      </c>
    </row>
    <row r="2366" spans="1:7" x14ac:dyDescent="0.35">
      <c r="A2366">
        <v>103916</v>
      </c>
      <c r="B2366">
        <v>1783</v>
      </c>
      <c r="C2366" t="s">
        <v>597</v>
      </c>
      <c r="D2366" t="s">
        <v>882</v>
      </c>
      <c r="E2366" t="s">
        <v>3923</v>
      </c>
      <c r="G2366">
        <v>225367</v>
      </c>
    </row>
    <row r="2367" spans="1:7" x14ac:dyDescent="0.35">
      <c r="A2367">
        <v>104196</v>
      </c>
      <c r="B2367">
        <v>1835</v>
      </c>
      <c r="C2367" t="s">
        <v>602</v>
      </c>
      <c r="D2367" t="s">
        <v>882</v>
      </c>
      <c r="E2367" t="s">
        <v>3924</v>
      </c>
      <c r="G2367">
        <v>227001</v>
      </c>
    </row>
    <row r="2368" spans="1:7" x14ac:dyDescent="0.35">
      <c r="A2368">
        <v>103924</v>
      </c>
      <c r="B2368">
        <v>1789</v>
      </c>
      <c r="C2368" t="s">
        <v>602</v>
      </c>
      <c r="D2368" t="s">
        <v>882</v>
      </c>
      <c r="E2368" t="s">
        <v>3925</v>
      </c>
      <c r="G2368">
        <v>225431</v>
      </c>
    </row>
    <row r="2369" spans="1:7" x14ac:dyDescent="0.35">
      <c r="A2369">
        <v>103918</v>
      </c>
      <c r="B2369">
        <v>1784</v>
      </c>
      <c r="C2369" t="s">
        <v>602</v>
      </c>
      <c r="D2369" t="s">
        <v>882</v>
      </c>
      <c r="E2369" t="s">
        <v>3926</v>
      </c>
      <c r="G2369">
        <v>225370</v>
      </c>
    </row>
    <row r="2370" spans="1:7" x14ac:dyDescent="0.35">
      <c r="A2370">
        <v>103920</v>
      </c>
      <c r="B2370">
        <v>1786</v>
      </c>
      <c r="C2370" t="s">
        <v>602</v>
      </c>
      <c r="D2370" t="s">
        <v>882</v>
      </c>
      <c r="E2370" t="s">
        <v>3927</v>
      </c>
      <c r="G2370">
        <v>225373</v>
      </c>
    </row>
    <row r="2371" spans="1:7" x14ac:dyDescent="0.35">
      <c r="A2371">
        <v>103665</v>
      </c>
      <c r="B2371">
        <v>905</v>
      </c>
      <c r="C2371" t="s">
        <v>597</v>
      </c>
      <c r="D2371" t="s">
        <v>742</v>
      </c>
      <c r="E2371" t="s">
        <v>3928</v>
      </c>
      <c r="F2371">
        <v>304</v>
      </c>
      <c r="G2371">
        <v>928</v>
      </c>
    </row>
    <row r="2372" spans="1:7" x14ac:dyDescent="0.35">
      <c r="A2372">
        <v>103944</v>
      </c>
      <c r="B2372">
        <v>1808</v>
      </c>
      <c r="C2372" t="s">
        <v>602</v>
      </c>
      <c r="D2372" t="s">
        <v>882</v>
      </c>
      <c r="E2372" t="s">
        <v>3929</v>
      </c>
      <c r="G2372">
        <v>225939</v>
      </c>
    </row>
    <row r="2373" spans="1:7" x14ac:dyDescent="0.35">
      <c r="A2373">
        <v>103961</v>
      </c>
      <c r="B2373">
        <v>1824</v>
      </c>
      <c r="C2373" t="s">
        <v>602</v>
      </c>
      <c r="D2373" t="s">
        <v>882</v>
      </c>
      <c r="E2373" t="s">
        <v>3930</v>
      </c>
      <c r="G2373">
        <v>226039</v>
      </c>
    </row>
    <row r="2374" spans="1:7" x14ac:dyDescent="0.35">
      <c r="A2374">
        <v>103950</v>
      </c>
      <c r="B2374">
        <v>1814</v>
      </c>
      <c r="C2374" t="s">
        <v>602</v>
      </c>
      <c r="D2374" t="s">
        <v>882</v>
      </c>
      <c r="E2374" t="s">
        <v>3931</v>
      </c>
      <c r="G2374">
        <v>225985</v>
      </c>
    </row>
    <row r="2375" spans="1:7" x14ac:dyDescent="0.35">
      <c r="A2375">
        <v>104270</v>
      </c>
      <c r="B2375">
        <v>769</v>
      </c>
      <c r="C2375" t="s">
        <v>597</v>
      </c>
      <c r="D2375" t="s">
        <v>742</v>
      </c>
      <c r="E2375" t="s">
        <v>3932</v>
      </c>
      <c r="G2375">
        <v>227588</v>
      </c>
    </row>
    <row r="2376" spans="1:7" x14ac:dyDescent="0.35">
      <c r="A2376">
        <v>103964</v>
      </c>
      <c r="B2376">
        <v>1827</v>
      </c>
      <c r="C2376" t="s">
        <v>602</v>
      </c>
      <c r="D2376" t="s">
        <v>882</v>
      </c>
      <c r="E2376" t="s">
        <v>3933</v>
      </c>
      <c r="G2376">
        <v>226042</v>
      </c>
    </row>
    <row r="2377" spans="1:7" x14ac:dyDescent="0.35">
      <c r="A2377">
        <v>103943</v>
      </c>
      <c r="B2377">
        <v>1807</v>
      </c>
      <c r="C2377" t="s">
        <v>597</v>
      </c>
      <c r="D2377" t="s">
        <v>882</v>
      </c>
      <c r="E2377" t="s">
        <v>3934</v>
      </c>
      <c r="G2377">
        <v>225938</v>
      </c>
    </row>
    <row r="2378" spans="1:7" x14ac:dyDescent="0.35">
      <c r="A2378">
        <v>103904</v>
      </c>
      <c r="B2378">
        <v>1772</v>
      </c>
      <c r="C2378" t="s">
        <v>597</v>
      </c>
      <c r="D2378" t="s">
        <v>882</v>
      </c>
      <c r="E2378" t="s">
        <v>3935</v>
      </c>
      <c r="G2378">
        <v>225368</v>
      </c>
    </row>
    <row r="2379" spans="1:7" x14ac:dyDescent="0.35">
      <c r="A2379">
        <v>104003</v>
      </c>
      <c r="B2379">
        <v>864</v>
      </c>
      <c r="C2379" t="s">
        <v>597</v>
      </c>
      <c r="D2379" t="s">
        <v>742</v>
      </c>
      <c r="E2379" t="s">
        <v>3936</v>
      </c>
      <c r="F2379">
        <v>478</v>
      </c>
    </row>
    <row r="2380" spans="1:7" x14ac:dyDescent="0.35">
      <c r="A2380">
        <v>103938</v>
      </c>
      <c r="B2380">
        <v>1802</v>
      </c>
      <c r="C2380" t="s">
        <v>602</v>
      </c>
      <c r="D2380" t="s">
        <v>882</v>
      </c>
      <c r="E2380" t="s">
        <v>3937</v>
      </c>
      <c r="G2380">
        <v>225932</v>
      </c>
    </row>
    <row r="2381" spans="1:7" x14ac:dyDescent="0.35">
      <c r="A2381">
        <v>101623</v>
      </c>
      <c r="B2381">
        <v>608</v>
      </c>
      <c r="C2381" t="s">
        <v>597</v>
      </c>
      <c r="D2381" t="s">
        <v>742</v>
      </c>
      <c r="E2381" t="s">
        <v>3938</v>
      </c>
      <c r="F2381">
        <v>110</v>
      </c>
      <c r="G2381">
        <v>1493</v>
      </c>
    </row>
    <row r="2382" spans="1:7" x14ac:dyDescent="0.35">
      <c r="A2382">
        <v>103783</v>
      </c>
      <c r="B2382">
        <v>2573</v>
      </c>
      <c r="C2382" t="s">
        <v>597</v>
      </c>
      <c r="D2382" t="s">
        <v>603</v>
      </c>
      <c r="E2382" t="s">
        <v>3939</v>
      </c>
      <c r="F2382">
        <v>7021</v>
      </c>
      <c r="G2382">
        <v>219042</v>
      </c>
    </row>
    <row r="2383" spans="1:7" x14ac:dyDescent="0.35">
      <c r="A2383">
        <v>0</v>
      </c>
      <c r="B2383">
        <v>2665</v>
      </c>
      <c r="C2383" t="s">
        <v>602</v>
      </c>
      <c r="D2383" t="s">
        <v>3408</v>
      </c>
      <c r="E2383" t="s">
        <v>962</v>
      </c>
    </row>
    <row r="2384" spans="1:7" x14ac:dyDescent="0.35">
      <c r="A2384">
        <v>103609</v>
      </c>
      <c r="B2384">
        <v>823</v>
      </c>
      <c r="C2384" t="s">
        <v>597</v>
      </c>
      <c r="D2384" t="s">
        <v>742</v>
      </c>
      <c r="E2384" t="s">
        <v>3940</v>
      </c>
      <c r="F2384">
        <v>453</v>
      </c>
      <c r="G2384">
        <v>222961</v>
      </c>
    </row>
    <row r="2385" spans="1:12" x14ac:dyDescent="0.35">
      <c r="A2385">
        <v>103689</v>
      </c>
      <c r="B2385">
        <v>947</v>
      </c>
      <c r="C2385" t="s">
        <v>597</v>
      </c>
      <c r="D2385" t="s">
        <v>742</v>
      </c>
      <c r="E2385" t="s">
        <v>3941</v>
      </c>
      <c r="F2385">
        <v>289</v>
      </c>
      <c r="G2385">
        <v>222917</v>
      </c>
    </row>
    <row r="2386" spans="1:12" x14ac:dyDescent="0.35">
      <c r="A2386">
        <v>103199</v>
      </c>
      <c r="B2386">
        <v>1714</v>
      </c>
      <c r="C2386" t="s">
        <v>597</v>
      </c>
      <c r="D2386" t="s">
        <v>3443</v>
      </c>
      <c r="E2386" t="s">
        <v>3942</v>
      </c>
    </row>
    <row r="2387" spans="1:12" x14ac:dyDescent="0.35">
      <c r="A2387">
        <v>103799</v>
      </c>
      <c r="B2387">
        <v>1722</v>
      </c>
      <c r="C2387" t="s">
        <v>597</v>
      </c>
      <c r="D2387" t="s">
        <v>2003</v>
      </c>
      <c r="E2387" t="s">
        <v>3943</v>
      </c>
      <c r="F2387">
        <v>2021</v>
      </c>
      <c r="G2387">
        <v>225206</v>
      </c>
      <c r="H2387" t="s">
        <v>1458</v>
      </c>
      <c r="K2387" t="s">
        <v>2221</v>
      </c>
    </row>
    <row r="2388" spans="1:12" x14ac:dyDescent="0.35">
      <c r="A2388">
        <v>102115</v>
      </c>
      <c r="B2388">
        <v>2350</v>
      </c>
      <c r="C2388" t="s">
        <v>602</v>
      </c>
      <c r="D2388" t="s">
        <v>603</v>
      </c>
      <c r="E2388" t="s">
        <v>238</v>
      </c>
      <c r="G2388">
        <v>219859</v>
      </c>
    </row>
    <row r="2389" spans="1:12" x14ac:dyDescent="0.35">
      <c r="A2389">
        <v>104082</v>
      </c>
      <c r="B2389">
        <v>869</v>
      </c>
      <c r="C2389" t="s">
        <v>597</v>
      </c>
      <c r="D2389" t="s">
        <v>742</v>
      </c>
      <c r="E2389" t="s">
        <v>3944</v>
      </c>
      <c r="F2389">
        <v>246</v>
      </c>
      <c r="G2389">
        <v>226199</v>
      </c>
    </row>
    <row r="2390" spans="1:12" x14ac:dyDescent="0.35">
      <c r="A2390">
        <v>103657</v>
      </c>
      <c r="B2390">
        <v>2525</v>
      </c>
      <c r="C2390" t="s">
        <v>602</v>
      </c>
      <c r="D2390" t="s">
        <v>603</v>
      </c>
      <c r="E2390" t="s">
        <v>3945</v>
      </c>
      <c r="G2390">
        <v>222850</v>
      </c>
    </row>
    <row r="2391" spans="1:12" x14ac:dyDescent="0.35">
      <c r="A2391">
        <v>105002</v>
      </c>
      <c r="B2391">
        <v>1839</v>
      </c>
      <c r="C2391" t="s">
        <v>597</v>
      </c>
      <c r="D2391" t="s">
        <v>882</v>
      </c>
      <c r="E2391" t="s">
        <v>3946</v>
      </c>
    </row>
    <row r="2392" spans="1:12" x14ac:dyDescent="0.35">
      <c r="A2392">
        <v>103921</v>
      </c>
      <c r="B2392">
        <v>1787</v>
      </c>
      <c r="C2392" t="s">
        <v>602</v>
      </c>
      <c r="D2392" t="s">
        <v>882</v>
      </c>
      <c r="E2392" t="s">
        <v>3947</v>
      </c>
      <c r="G2392">
        <v>225428</v>
      </c>
    </row>
    <row r="2393" spans="1:12" x14ac:dyDescent="0.35">
      <c r="A2393">
        <v>104142</v>
      </c>
      <c r="B2393">
        <v>2614</v>
      </c>
      <c r="C2393" t="s">
        <v>602</v>
      </c>
      <c r="D2393" t="s">
        <v>603</v>
      </c>
      <c r="E2393" t="s">
        <v>217</v>
      </c>
      <c r="F2393">
        <v>701001</v>
      </c>
      <c r="G2393">
        <v>226481</v>
      </c>
    </row>
    <row r="2394" spans="1:12" x14ac:dyDescent="0.35">
      <c r="A2394">
        <v>103457</v>
      </c>
      <c r="B2394">
        <v>1593</v>
      </c>
      <c r="C2394" t="s">
        <v>597</v>
      </c>
      <c r="D2394" t="s">
        <v>1066</v>
      </c>
      <c r="E2394" t="s">
        <v>3948</v>
      </c>
    </row>
    <row r="2395" spans="1:12" x14ac:dyDescent="0.35">
      <c r="A2395">
        <v>101486</v>
      </c>
      <c r="B2395">
        <v>1086</v>
      </c>
      <c r="C2395" t="s">
        <v>597</v>
      </c>
      <c r="D2395" t="s">
        <v>962</v>
      </c>
      <c r="E2395" t="s">
        <v>3949</v>
      </c>
    </row>
    <row r="2396" spans="1:12" x14ac:dyDescent="0.35">
      <c r="A2396">
        <v>102495</v>
      </c>
      <c r="B2396">
        <v>941</v>
      </c>
      <c r="C2396" t="s">
        <v>597</v>
      </c>
      <c r="D2396" t="s">
        <v>742</v>
      </c>
      <c r="E2396" t="s">
        <v>3950</v>
      </c>
      <c r="F2396">
        <v>393</v>
      </c>
    </row>
    <row r="2397" spans="1:12" x14ac:dyDescent="0.35">
      <c r="A2397">
        <v>0</v>
      </c>
      <c r="B2397">
        <v>3161</v>
      </c>
      <c r="C2397" t="s">
        <v>1308</v>
      </c>
      <c r="D2397" t="s">
        <v>3951</v>
      </c>
      <c r="E2397" t="s">
        <v>3952</v>
      </c>
    </row>
    <row r="2398" spans="1:12" x14ac:dyDescent="0.35">
      <c r="A2398">
        <v>103965</v>
      </c>
      <c r="B2398">
        <v>1828</v>
      </c>
      <c r="C2398" t="s">
        <v>597</v>
      </c>
      <c r="D2398" t="s">
        <v>882</v>
      </c>
      <c r="E2398" t="s">
        <v>3953</v>
      </c>
      <c r="G2398">
        <v>226043</v>
      </c>
    </row>
    <row r="2399" spans="1:12" x14ac:dyDescent="0.35">
      <c r="A2399">
        <v>572</v>
      </c>
      <c r="B2399">
        <v>3523</v>
      </c>
      <c r="C2399" t="s">
        <v>602</v>
      </c>
      <c r="E2399" t="s">
        <v>3954</v>
      </c>
      <c r="G2399">
        <v>229603</v>
      </c>
      <c r="L2399" t="s">
        <v>965</v>
      </c>
    </row>
    <row r="2400" spans="1:12" x14ac:dyDescent="0.35">
      <c r="A2400">
        <v>101947</v>
      </c>
      <c r="B2400">
        <v>2331</v>
      </c>
      <c r="C2400" t="s">
        <v>602</v>
      </c>
      <c r="D2400" t="s">
        <v>603</v>
      </c>
      <c r="E2400" t="s">
        <v>3955</v>
      </c>
      <c r="G2400">
        <v>220439</v>
      </c>
    </row>
    <row r="2401" spans="1:12" x14ac:dyDescent="0.35">
      <c r="A2401">
        <v>102472</v>
      </c>
      <c r="B2401">
        <v>643</v>
      </c>
      <c r="C2401" t="s">
        <v>597</v>
      </c>
      <c r="D2401" t="s">
        <v>742</v>
      </c>
      <c r="E2401" t="s">
        <v>3956</v>
      </c>
      <c r="F2401">
        <v>210</v>
      </c>
      <c r="G2401">
        <v>1117</v>
      </c>
    </row>
    <row r="2402" spans="1:12" x14ac:dyDescent="0.35">
      <c r="A2402">
        <v>104094</v>
      </c>
      <c r="B2402">
        <v>844</v>
      </c>
      <c r="C2402" t="s">
        <v>597</v>
      </c>
      <c r="D2402" t="s">
        <v>742</v>
      </c>
      <c r="E2402" t="s">
        <v>3957</v>
      </c>
      <c r="F2402">
        <v>387</v>
      </c>
      <c r="G2402">
        <v>226299</v>
      </c>
    </row>
    <row r="2403" spans="1:12" x14ac:dyDescent="0.35">
      <c r="A2403">
        <v>104271</v>
      </c>
      <c r="B2403">
        <v>604</v>
      </c>
      <c r="C2403" t="s">
        <v>597</v>
      </c>
      <c r="D2403" t="s">
        <v>742</v>
      </c>
      <c r="E2403" t="s">
        <v>3958</v>
      </c>
      <c r="F2403">
        <v>461</v>
      </c>
    </row>
    <row r="2404" spans="1:12" x14ac:dyDescent="0.35">
      <c r="A2404">
        <v>101820</v>
      </c>
      <c r="B2404">
        <v>2293</v>
      </c>
      <c r="C2404" t="s">
        <v>597</v>
      </c>
      <c r="D2404" t="s">
        <v>603</v>
      </c>
      <c r="E2404" t="s">
        <v>3959</v>
      </c>
    </row>
    <row r="2405" spans="1:12" x14ac:dyDescent="0.35">
      <c r="A2405">
        <v>103932</v>
      </c>
      <c r="B2405">
        <v>1796</v>
      </c>
      <c r="C2405" t="s">
        <v>597</v>
      </c>
      <c r="D2405" t="s">
        <v>882</v>
      </c>
      <c r="E2405" t="s">
        <v>3960</v>
      </c>
      <c r="G2405">
        <v>225439</v>
      </c>
    </row>
    <row r="2406" spans="1:12" x14ac:dyDescent="0.35">
      <c r="A2406">
        <v>103896</v>
      </c>
      <c r="B2406">
        <v>2584</v>
      </c>
      <c r="C2406" t="s">
        <v>602</v>
      </c>
      <c r="D2406" t="s">
        <v>603</v>
      </c>
      <c r="E2406" t="s">
        <v>3961</v>
      </c>
      <c r="G2406">
        <v>2997</v>
      </c>
    </row>
    <row r="2407" spans="1:12" x14ac:dyDescent="0.35">
      <c r="A2407">
        <v>103716</v>
      </c>
      <c r="B2407">
        <v>685</v>
      </c>
      <c r="C2407" t="s">
        <v>597</v>
      </c>
      <c r="D2407" t="s">
        <v>742</v>
      </c>
      <c r="E2407" t="s">
        <v>3962</v>
      </c>
      <c r="F2407">
        <v>537</v>
      </c>
    </row>
    <row r="2408" spans="1:12" x14ac:dyDescent="0.35">
      <c r="A2408">
        <v>103356</v>
      </c>
      <c r="B2408">
        <v>2521</v>
      </c>
      <c r="C2408" t="s">
        <v>602</v>
      </c>
      <c r="D2408" t="s">
        <v>603</v>
      </c>
      <c r="E2408" t="s">
        <v>395</v>
      </c>
      <c r="G2408">
        <v>218953</v>
      </c>
    </row>
    <row r="2409" spans="1:12" x14ac:dyDescent="0.35">
      <c r="A2409">
        <v>102412</v>
      </c>
      <c r="B2409">
        <v>740</v>
      </c>
      <c r="C2409" t="s">
        <v>597</v>
      </c>
      <c r="D2409" t="s">
        <v>742</v>
      </c>
      <c r="E2409" t="s">
        <v>3963</v>
      </c>
      <c r="F2409">
        <v>201</v>
      </c>
      <c r="G2409">
        <v>408</v>
      </c>
    </row>
    <row r="2410" spans="1:12" x14ac:dyDescent="0.35">
      <c r="A2410">
        <v>102162</v>
      </c>
      <c r="B2410">
        <v>2356</v>
      </c>
      <c r="C2410" t="s">
        <v>602</v>
      </c>
      <c r="D2410" t="s">
        <v>603</v>
      </c>
      <c r="E2410" t="s">
        <v>575</v>
      </c>
      <c r="G2410">
        <v>1751</v>
      </c>
    </row>
    <row r="2411" spans="1:12" x14ac:dyDescent="0.35">
      <c r="A2411">
        <v>102741</v>
      </c>
      <c r="B2411">
        <v>848</v>
      </c>
      <c r="C2411" t="s">
        <v>597</v>
      </c>
      <c r="D2411" t="s">
        <v>742</v>
      </c>
      <c r="E2411" t="s">
        <v>3964</v>
      </c>
      <c r="F2411">
        <v>241</v>
      </c>
    </row>
    <row r="2412" spans="1:12" x14ac:dyDescent="0.35">
      <c r="A2412">
        <v>101698</v>
      </c>
      <c r="B2412">
        <v>1322</v>
      </c>
      <c r="C2412" t="s">
        <v>597</v>
      </c>
      <c r="D2412" t="s">
        <v>3417</v>
      </c>
      <c r="E2412" t="s">
        <v>3965</v>
      </c>
      <c r="G2412">
        <v>219824</v>
      </c>
    </row>
    <row r="2413" spans="1:12" x14ac:dyDescent="0.35">
      <c r="A2413">
        <v>101763</v>
      </c>
      <c r="B2413">
        <v>2286</v>
      </c>
      <c r="C2413" t="s">
        <v>602</v>
      </c>
      <c r="D2413" t="s">
        <v>603</v>
      </c>
      <c r="E2413" t="s">
        <v>543</v>
      </c>
      <c r="G2413">
        <v>220062</v>
      </c>
    </row>
    <row r="2414" spans="1:12" x14ac:dyDescent="0.35">
      <c r="A2414">
        <v>104390</v>
      </c>
      <c r="B2414">
        <v>3382</v>
      </c>
      <c r="C2414" t="s">
        <v>602</v>
      </c>
      <c r="D2414" t="s">
        <v>3443</v>
      </c>
      <c r="E2414" t="s">
        <v>25</v>
      </c>
      <c r="G2414">
        <v>223226</v>
      </c>
      <c r="K2414" t="s">
        <v>3966</v>
      </c>
      <c r="L2414" t="s">
        <v>980</v>
      </c>
    </row>
    <row r="2415" spans="1:12" x14ac:dyDescent="0.35">
      <c r="A2415">
        <v>103322</v>
      </c>
      <c r="B2415">
        <v>2519</v>
      </c>
      <c r="C2415" t="s">
        <v>602</v>
      </c>
      <c r="D2415" t="s">
        <v>603</v>
      </c>
      <c r="E2415" t="s">
        <v>3967</v>
      </c>
      <c r="G2415">
        <v>222470</v>
      </c>
    </row>
    <row r="2416" spans="1:12" x14ac:dyDescent="0.35">
      <c r="A2416">
        <v>104312</v>
      </c>
      <c r="B2416">
        <v>591</v>
      </c>
      <c r="C2416" t="s">
        <v>597</v>
      </c>
      <c r="D2416" t="s">
        <v>742</v>
      </c>
      <c r="E2416" t="s">
        <v>3968</v>
      </c>
      <c r="F2416">
        <v>649</v>
      </c>
      <c r="G2416">
        <v>228061</v>
      </c>
    </row>
    <row r="2417" spans="1:12" x14ac:dyDescent="0.35">
      <c r="A2417">
        <v>103949</v>
      </c>
      <c r="B2417">
        <v>1813</v>
      </c>
      <c r="C2417" t="s">
        <v>597</v>
      </c>
      <c r="D2417" t="s">
        <v>882</v>
      </c>
      <c r="E2417" t="s">
        <v>3969</v>
      </c>
    </row>
    <row r="2418" spans="1:12" x14ac:dyDescent="0.35">
      <c r="A2418">
        <v>103869</v>
      </c>
      <c r="B2418">
        <v>2580</v>
      </c>
      <c r="C2418" t="s">
        <v>597</v>
      </c>
      <c r="D2418" t="s">
        <v>603</v>
      </c>
      <c r="E2418" t="s">
        <v>3970</v>
      </c>
    </row>
    <row r="2419" spans="1:12" x14ac:dyDescent="0.35">
      <c r="A2419">
        <v>103649</v>
      </c>
      <c r="B2419">
        <v>2555</v>
      </c>
      <c r="C2419" t="s">
        <v>602</v>
      </c>
      <c r="D2419" t="s">
        <v>603</v>
      </c>
      <c r="E2419" t="s">
        <v>125</v>
      </c>
      <c r="G2419">
        <v>223045</v>
      </c>
    </row>
    <row r="2420" spans="1:12" x14ac:dyDescent="0.35">
      <c r="A2420">
        <v>104337</v>
      </c>
      <c r="B2420">
        <v>2654</v>
      </c>
      <c r="C2420" t="s">
        <v>602</v>
      </c>
      <c r="D2420" t="s">
        <v>3443</v>
      </c>
      <c r="E2420" t="s">
        <v>523</v>
      </c>
      <c r="G2420">
        <v>228633</v>
      </c>
    </row>
    <row r="2421" spans="1:12" x14ac:dyDescent="0.35">
      <c r="A2421">
        <v>102692</v>
      </c>
      <c r="B2421">
        <v>846</v>
      </c>
      <c r="C2421" t="s">
        <v>597</v>
      </c>
      <c r="D2421" t="s">
        <v>742</v>
      </c>
      <c r="E2421" t="s">
        <v>3971</v>
      </c>
      <c r="F2421">
        <v>462</v>
      </c>
    </row>
    <row r="2422" spans="1:12" x14ac:dyDescent="0.35">
      <c r="A2422">
        <v>104325</v>
      </c>
      <c r="B2422">
        <v>2646</v>
      </c>
      <c r="C2422" t="s">
        <v>602</v>
      </c>
      <c r="D2422" t="s">
        <v>603</v>
      </c>
      <c r="E2422" t="s">
        <v>3972</v>
      </c>
      <c r="G2422">
        <v>228197</v>
      </c>
    </row>
    <row r="2423" spans="1:12" x14ac:dyDescent="0.35">
      <c r="A2423">
        <v>102516</v>
      </c>
      <c r="B2423">
        <v>843</v>
      </c>
      <c r="C2423" t="s">
        <v>597</v>
      </c>
      <c r="D2423" t="s">
        <v>742</v>
      </c>
      <c r="E2423" t="s">
        <v>3973</v>
      </c>
      <c r="F2423">
        <v>427</v>
      </c>
      <c r="G2423">
        <v>217990</v>
      </c>
    </row>
    <row r="2424" spans="1:12" x14ac:dyDescent="0.35">
      <c r="A2424">
        <v>102515</v>
      </c>
      <c r="B2424">
        <v>2421</v>
      </c>
      <c r="C2424" t="s">
        <v>597</v>
      </c>
      <c r="D2424" t="s">
        <v>603</v>
      </c>
      <c r="E2424" t="s">
        <v>3974</v>
      </c>
    </row>
    <row r="2425" spans="1:12" x14ac:dyDescent="0.35">
      <c r="A2425">
        <v>103674</v>
      </c>
      <c r="B2425">
        <v>906</v>
      </c>
      <c r="C2425" t="s">
        <v>597</v>
      </c>
      <c r="D2425" t="s">
        <v>742</v>
      </c>
      <c r="E2425" t="s">
        <v>3975</v>
      </c>
      <c r="F2425">
        <v>583</v>
      </c>
      <c r="G2425">
        <v>223014</v>
      </c>
    </row>
    <row r="2426" spans="1:12" x14ac:dyDescent="0.35">
      <c r="A2426">
        <v>104027</v>
      </c>
      <c r="B2426">
        <v>921</v>
      </c>
      <c r="C2426" t="s">
        <v>597</v>
      </c>
      <c r="D2426" t="s">
        <v>742</v>
      </c>
      <c r="E2426" t="s">
        <v>3976</v>
      </c>
      <c r="F2426">
        <v>506</v>
      </c>
    </row>
    <row r="2427" spans="1:12" x14ac:dyDescent="0.35">
      <c r="A2427">
        <v>104496</v>
      </c>
      <c r="B2427">
        <v>3555</v>
      </c>
      <c r="C2427" t="s">
        <v>602</v>
      </c>
      <c r="D2427" t="s">
        <v>1061</v>
      </c>
      <c r="E2427" t="s">
        <v>3977</v>
      </c>
      <c r="G2427">
        <v>229708</v>
      </c>
      <c r="L2427" t="s">
        <v>1581</v>
      </c>
    </row>
    <row r="2428" spans="1:12" x14ac:dyDescent="0.35">
      <c r="A2428">
        <v>103470</v>
      </c>
      <c r="B2428">
        <v>716</v>
      </c>
      <c r="C2428" t="s">
        <v>597</v>
      </c>
      <c r="D2428" t="s">
        <v>742</v>
      </c>
      <c r="E2428" t="s">
        <v>3978</v>
      </c>
      <c r="F2428">
        <v>557</v>
      </c>
      <c r="G2428">
        <v>222791</v>
      </c>
    </row>
    <row r="2429" spans="1:12" x14ac:dyDescent="0.35">
      <c r="A2429">
        <v>101669</v>
      </c>
      <c r="B2429">
        <v>1303</v>
      </c>
      <c r="C2429" t="s">
        <v>597</v>
      </c>
      <c r="D2429" t="s">
        <v>3417</v>
      </c>
      <c r="E2429" t="s">
        <v>3979</v>
      </c>
      <c r="G2429">
        <v>218104</v>
      </c>
    </row>
    <row r="2430" spans="1:12" x14ac:dyDescent="0.35">
      <c r="A2430">
        <v>101989</v>
      </c>
      <c r="B2430">
        <v>2336</v>
      </c>
      <c r="C2430" t="s">
        <v>602</v>
      </c>
      <c r="D2430" t="s">
        <v>603</v>
      </c>
      <c r="E2430" t="s">
        <v>3980</v>
      </c>
      <c r="G2430">
        <v>1427</v>
      </c>
    </row>
    <row r="2431" spans="1:12" x14ac:dyDescent="0.35">
      <c r="A2431">
        <v>579</v>
      </c>
      <c r="B2431">
        <v>3554</v>
      </c>
      <c r="C2431" t="s">
        <v>602</v>
      </c>
      <c r="E2431" t="s">
        <v>3981</v>
      </c>
      <c r="G2431">
        <v>2665</v>
      </c>
      <c r="L2431" t="s">
        <v>965</v>
      </c>
    </row>
    <row r="2432" spans="1:12" x14ac:dyDescent="0.35">
      <c r="A2432">
        <v>103927</v>
      </c>
      <c r="B2432">
        <v>1791</v>
      </c>
      <c r="C2432" t="s">
        <v>597</v>
      </c>
      <c r="D2432" t="s">
        <v>882</v>
      </c>
      <c r="E2432" t="s">
        <v>3982</v>
      </c>
      <c r="G2432">
        <v>225434</v>
      </c>
    </row>
    <row r="2433" spans="1:12" x14ac:dyDescent="0.35">
      <c r="A2433">
        <v>103549</v>
      </c>
      <c r="B2433">
        <v>631</v>
      </c>
      <c r="C2433" t="s">
        <v>597</v>
      </c>
      <c r="D2433" t="s">
        <v>742</v>
      </c>
      <c r="E2433" t="s">
        <v>3983</v>
      </c>
      <c r="F2433">
        <v>209</v>
      </c>
      <c r="G2433">
        <v>2967</v>
      </c>
    </row>
    <row r="2434" spans="1:12" x14ac:dyDescent="0.35">
      <c r="A2434">
        <v>101935</v>
      </c>
      <c r="B2434">
        <v>779</v>
      </c>
      <c r="C2434" t="s">
        <v>597</v>
      </c>
      <c r="D2434" t="s">
        <v>742</v>
      </c>
      <c r="E2434" t="s">
        <v>3984</v>
      </c>
      <c r="F2434">
        <v>480</v>
      </c>
      <c r="G2434">
        <v>1450</v>
      </c>
    </row>
    <row r="2435" spans="1:12" x14ac:dyDescent="0.35">
      <c r="A2435">
        <v>101837</v>
      </c>
      <c r="B2435">
        <v>2296</v>
      </c>
      <c r="C2435" t="s">
        <v>602</v>
      </c>
      <c r="D2435" t="s">
        <v>603</v>
      </c>
      <c r="E2435" t="s">
        <v>329</v>
      </c>
      <c r="G2435">
        <v>1457</v>
      </c>
    </row>
    <row r="2436" spans="1:12" x14ac:dyDescent="0.35">
      <c r="A2436">
        <v>104044</v>
      </c>
      <c r="B2436">
        <v>935</v>
      </c>
      <c r="C2436" t="s">
        <v>597</v>
      </c>
      <c r="D2436" t="s">
        <v>742</v>
      </c>
      <c r="E2436" t="s">
        <v>3985</v>
      </c>
      <c r="F2436">
        <v>147</v>
      </c>
    </row>
    <row r="2437" spans="1:12" x14ac:dyDescent="0.35">
      <c r="A2437">
        <v>103460</v>
      </c>
      <c r="B2437">
        <v>1596</v>
      </c>
      <c r="C2437" t="s">
        <v>597</v>
      </c>
      <c r="D2437" t="s">
        <v>1066</v>
      </c>
      <c r="E2437" t="s">
        <v>3986</v>
      </c>
    </row>
    <row r="2438" spans="1:12" x14ac:dyDescent="0.35">
      <c r="A2438">
        <v>101870</v>
      </c>
      <c r="B2438">
        <v>2308</v>
      </c>
      <c r="C2438" t="s">
        <v>597</v>
      </c>
      <c r="D2438" t="s">
        <v>603</v>
      </c>
      <c r="E2438" t="s">
        <v>3987</v>
      </c>
    </row>
    <row r="2439" spans="1:12" x14ac:dyDescent="0.35">
      <c r="A2439">
        <v>104495</v>
      </c>
      <c r="B2439">
        <v>3553</v>
      </c>
      <c r="C2439" t="s">
        <v>968</v>
      </c>
      <c r="D2439" t="s">
        <v>1066</v>
      </c>
      <c r="E2439" t="s">
        <v>3988</v>
      </c>
      <c r="F2439">
        <v>7188</v>
      </c>
      <c r="G2439">
        <v>1274</v>
      </c>
      <c r="L2439" t="s">
        <v>965</v>
      </c>
    </row>
    <row r="2440" spans="1:12" x14ac:dyDescent="0.35">
      <c r="A2440">
        <v>104343</v>
      </c>
      <c r="B2440">
        <v>2674</v>
      </c>
      <c r="C2440" t="s">
        <v>597</v>
      </c>
      <c r="D2440" t="s">
        <v>603</v>
      </c>
      <c r="E2440" t="s">
        <v>3989</v>
      </c>
      <c r="F2440">
        <v>615318</v>
      </c>
      <c r="G2440">
        <v>228668</v>
      </c>
    </row>
    <row r="2441" spans="1:12" x14ac:dyDescent="0.35">
      <c r="A2441">
        <v>104062</v>
      </c>
      <c r="B2441">
        <v>938</v>
      </c>
      <c r="C2441" t="s">
        <v>597</v>
      </c>
      <c r="D2441" t="s">
        <v>742</v>
      </c>
      <c r="E2441" t="s">
        <v>3990</v>
      </c>
      <c r="F2441">
        <v>376</v>
      </c>
    </row>
    <row r="2442" spans="1:12" x14ac:dyDescent="0.35">
      <c r="A2442">
        <v>104494</v>
      </c>
      <c r="B2442">
        <v>3552</v>
      </c>
      <c r="C2442" t="s">
        <v>602</v>
      </c>
      <c r="D2442" t="s">
        <v>1066</v>
      </c>
      <c r="E2442" t="s">
        <v>3991</v>
      </c>
      <c r="F2442">
        <v>7495</v>
      </c>
      <c r="G2442">
        <v>229706</v>
      </c>
      <c r="H2442" t="s">
        <v>964</v>
      </c>
    </row>
    <row r="2443" spans="1:12" x14ac:dyDescent="0.35">
      <c r="A2443">
        <v>102719</v>
      </c>
      <c r="B2443">
        <v>915</v>
      </c>
      <c r="C2443" t="s">
        <v>597</v>
      </c>
      <c r="D2443" t="s">
        <v>742</v>
      </c>
      <c r="E2443" t="s">
        <v>3992</v>
      </c>
      <c r="F2443">
        <v>446</v>
      </c>
    </row>
    <row r="2444" spans="1:12" x14ac:dyDescent="0.35">
      <c r="A2444">
        <v>104066</v>
      </c>
      <c r="B2444">
        <v>675</v>
      </c>
      <c r="C2444" t="s">
        <v>597</v>
      </c>
      <c r="D2444" t="s">
        <v>742</v>
      </c>
      <c r="E2444" t="s">
        <v>3993</v>
      </c>
      <c r="F2444">
        <v>212</v>
      </c>
    </row>
    <row r="2445" spans="1:12" x14ac:dyDescent="0.35">
      <c r="A2445">
        <v>103693</v>
      </c>
      <c r="B2445">
        <v>878</v>
      </c>
      <c r="C2445" t="s">
        <v>597</v>
      </c>
      <c r="D2445" t="s">
        <v>742</v>
      </c>
      <c r="E2445" t="s">
        <v>3994</v>
      </c>
      <c r="F2445">
        <v>337</v>
      </c>
    </row>
    <row r="2446" spans="1:12" x14ac:dyDescent="0.35">
      <c r="A2446">
        <v>0</v>
      </c>
      <c r="B2446">
        <v>3550</v>
      </c>
      <c r="C2446" t="s">
        <v>602</v>
      </c>
      <c r="D2446" t="s">
        <v>3237</v>
      </c>
      <c r="E2446" t="s">
        <v>3995</v>
      </c>
      <c r="G2446">
        <v>0</v>
      </c>
      <c r="K2446" t="s">
        <v>1328</v>
      </c>
      <c r="L2446" t="s">
        <v>965</v>
      </c>
    </row>
    <row r="2447" spans="1:12" x14ac:dyDescent="0.35">
      <c r="A2447">
        <v>105001</v>
      </c>
      <c r="B2447">
        <v>1838</v>
      </c>
      <c r="C2447" t="s">
        <v>597</v>
      </c>
      <c r="D2447" t="s">
        <v>882</v>
      </c>
      <c r="E2447" t="s">
        <v>3996</v>
      </c>
    </row>
    <row r="2448" spans="1:12" x14ac:dyDescent="0.35">
      <c r="A2448">
        <v>0</v>
      </c>
      <c r="B2448">
        <v>3549</v>
      </c>
      <c r="C2448" t="s">
        <v>602</v>
      </c>
      <c r="D2448" t="s">
        <v>3997</v>
      </c>
      <c r="E2448" t="s">
        <v>3998</v>
      </c>
      <c r="G2448">
        <v>0</v>
      </c>
    </row>
    <row r="2449" spans="1:12" x14ac:dyDescent="0.35">
      <c r="A2449">
        <v>104354</v>
      </c>
      <c r="B2449">
        <v>3157</v>
      </c>
      <c r="C2449" t="s">
        <v>602</v>
      </c>
      <c r="D2449" t="s">
        <v>603</v>
      </c>
      <c r="E2449" t="s">
        <v>3999</v>
      </c>
      <c r="G2449">
        <v>21865</v>
      </c>
    </row>
    <row r="2450" spans="1:12" x14ac:dyDescent="0.35">
      <c r="A2450">
        <v>999999</v>
      </c>
      <c r="B2450">
        <v>2655</v>
      </c>
      <c r="C2450" t="s">
        <v>597</v>
      </c>
      <c r="D2450" t="s">
        <v>3237</v>
      </c>
      <c r="E2450" t="s">
        <v>4000</v>
      </c>
      <c r="F2450">
        <v>99999999</v>
      </c>
      <c r="G2450">
        <v>9999999</v>
      </c>
    </row>
    <row r="2451" spans="1:12" x14ac:dyDescent="0.35">
      <c r="A2451">
        <v>0</v>
      </c>
      <c r="B2451">
        <v>3561</v>
      </c>
      <c r="C2451" t="s">
        <v>602</v>
      </c>
      <c r="D2451" t="s">
        <v>1178</v>
      </c>
      <c r="E2451" t="s">
        <v>4001</v>
      </c>
      <c r="G2451">
        <v>0</v>
      </c>
    </row>
    <row r="2452" spans="1:12" x14ac:dyDescent="0.35">
      <c r="A2452">
        <v>104179</v>
      </c>
      <c r="B2452">
        <v>1716</v>
      </c>
      <c r="C2452" t="s">
        <v>597</v>
      </c>
      <c r="D2452" t="s">
        <v>3443</v>
      </c>
      <c r="E2452" t="s">
        <v>4002</v>
      </c>
      <c r="G2452">
        <v>226852</v>
      </c>
    </row>
    <row r="2453" spans="1:12" x14ac:dyDescent="0.35">
      <c r="A2453">
        <v>0</v>
      </c>
      <c r="B2453">
        <v>3371</v>
      </c>
      <c r="C2453" t="s">
        <v>602</v>
      </c>
      <c r="D2453" t="s">
        <v>1301</v>
      </c>
      <c r="E2453" t="s">
        <v>4003</v>
      </c>
      <c r="G2453">
        <v>0</v>
      </c>
    </row>
    <row r="2454" spans="1:12" x14ac:dyDescent="0.35">
      <c r="A2454">
        <v>103931</v>
      </c>
      <c r="B2454">
        <v>1795</v>
      </c>
      <c r="C2454" t="s">
        <v>597</v>
      </c>
      <c r="D2454" t="s">
        <v>882</v>
      </c>
      <c r="E2454" t="s">
        <v>4004</v>
      </c>
      <c r="G2454">
        <v>225438</v>
      </c>
    </row>
    <row r="2455" spans="1:12" x14ac:dyDescent="0.35">
      <c r="A2455">
        <v>103057</v>
      </c>
      <c r="B2455">
        <v>786</v>
      </c>
      <c r="C2455" t="s">
        <v>597</v>
      </c>
      <c r="D2455" t="s">
        <v>742</v>
      </c>
      <c r="E2455" t="s">
        <v>4005</v>
      </c>
      <c r="F2455">
        <v>505</v>
      </c>
      <c r="G2455">
        <v>219898</v>
      </c>
    </row>
    <row r="2456" spans="1:12" x14ac:dyDescent="0.35">
      <c r="A2456">
        <v>103355</v>
      </c>
      <c r="B2456">
        <v>2520</v>
      </c>
      <c r="C2456" t="s">
        <v>602</v>
      </c>
      <c r="D2456" t="s">
        <v>603</v>
      </c>
      <c r="E2456" t="s">
        <v>4006</v>
      </c>
      <c r="G2456">
        <v>222781</v>
      </c>
    </row>
    <row r="2457" spans="1:12" x14ac:dyDescent="0.35">
      <c r="A2457">
        <v>103444</v>
      </c>
      <c r="B2457">
        <v>2527</v>
      </c>
      <c r="C2457" t="s">
        <v>597</v>
      </c>
      <c r="D2457" t="s">
        <v>603</v>
      </c>
      <c r="E2457" t="s">
        <v>4007</v>
      </c>
      <c r="G2457">
        <v>22175</v>
      </c>
    </row>
    <row r="2458" spans="1:12" x14ac:dyDescent="0.35">
      <c r="A2458">
        <v>103718</v>
      </c>
      <c r="B2458">
        <v>939</v>
      </c>
      <c r="C2458" t="s">
        <v>597</v>
      </c>
      <c r="D2458" t="s">
        <v>742</v>
      </c>
      <c r="E2458" t="s">
        <v>4008</v>
      </c>
      <c r="F2458">
        <v>350</v>
      </c>
    </row>
    <row r="2459" spans="1:12" x14ac:dyDescent="0.35">
      <c r="A2459">
        <v>103228</v>
      </c>
      <c r="B2459">
        <v>2508</v>
      </c>
      <c r="C2459" t="s">
        <v>602</v>
      </c>
      <c r="D2459" t="s">
        <v>603</v>
      </c>
      <c r="E2459" t="s">
        <v>314</v>
      </c>
      <c r="G2459">
        <v>222312</v>
      </c>
    </row>
    <row r="2460" spans="1:12" x14ac:dyDescent="0.35">
      <c r="A2460">
        <v>103933</v>
      </c>
      <c r="B2460">
        <v>1797</v>
      </c>
      <c r="C2460" t="s">
        <v>597</v>
      </c>
      <c r="D2460" t="s">
        <v>882</v>
      </c>
      <c r="E2460" t="s">
        <v>4009</v>
      </c>
      <c r="G2460">
        <v>225928</v>
      </c>
    </row>
    <row r="2461" spans="1:12" x14ac:dyDescent="0.35">
      <c r="A2461">
        <v>104499</v>
      </c>
      <c r="B2461">
        <v>2650</v>
      </c>
      <c r="C2461" t="s">
        <v>602</v>
      </c>
      <c r="D2461" t="s">
        <v>603</v>
      </c>
      <c r="E2461" t="s">
        <v>4010</v>
      </c>
    </row>
    <row r="2462" spans="1:12" x14ac:dyDescent="0.35">
      <c r="A2462">
        <v>104397</v>
      </c>
      <c r="B2462">
        <v>3453</v>
      </c>
      <c r="C2462" t="s">
        <v>602</v>
      </c>
      <c r="D2462" t="s">
        <v>603</v>
      </c>
      <c r="E2462" t="s">
        <v>67</v>
      </c>
      <c r="G2462">
        <v>971</v>
      </c>
    </row>
    <row r="2463" spans="1:12" x14ac:dyDescent="0.35">
      <c r="A2463">
        <v>578</v>
      </c>
      <c r="B2463">
        <v>3544</v>
      </c>
      <c r="C2463" t="s">
        <v>602</v>
      </c>
      <c r="E2463" t="s">
        <v>4011</v>
      </c>
      <c r="G2463">
        <v>229688</v>
      </c>
      <c r="L2463" t="s">
        <v>965</v>
      </c>
    </row>
    <row r="2464" spans="1:12" x14ac:dyDescent="0.35">
      <c r="A2464">
        <v>104284</v>
      </c>
      <c r="B2464">
        <v>1334</v>
      </c>
      <c r="C2464" t="s">
        <v>597</v>
      </c>
      <c r="D2464" t="s">
        <v>3845</v>
      </c>
      <c r="E2464" t="s">
        <v>4012</v>
      </c>
      <c r="G2464">
        <v>227686</v>
      </c>
    </row>
    <row r="2465" spans="1:13" x14ac:dyDescent="0.35">
      <c r="A2465">
        <v>103721</v>
      </c>
      <c r="B2465">
        <v>924</v>
      </c>
      <c r="C2465" t="s">
        <v>597</v>
      </c>
      <c r="D2465" t="s">
        <v>742</v>
      </c>
      <c r="E2465" t="s">
        <v>4013</v>
      </c>
      <c r="F2465">
        <v>582</v>
      </c>
      <c r="G2465">
        <v>223222</v>
      </c>
    </row>
    <row r="2466" spans="1:13" x14ac:dyDescent="0.35">
      <c r="A2466">
        <v>103628</v>
      </c>
      <c r="B2466">
        <v>2552</v>
      </c>
      <c r="C2466" t="s">
        <v>602</v>
      </c>
      <c r="D2466" t="s">
        <v>603</v>
      </c>
      <c r="E2466" t="s">
        <v>121</v>
      </c>
      <c r="G2466">
        <v>227719</v>
      </c>
    </row>
    <row r="2467" spans="1:13" x14ac:dyDescent="0.35">
      <c r="A2467">
        <v>101899</v>
      </c>
      <c r="B2467">
        <v>2315</v>
      </c>
      <c r="C2467" t="s">
        <v>602</v>
      </c>
      <c r="D2467" t="s">
        <v>603</v>
      </c>
      <c r="E2467" t="s">
        <v>266</v>
      </c>
      <c r="G2467">
        <v>220287</v>
      </c>
    </row>
    <row r="2468" spans="1:13" x14ac:dyDescent="0.35">
      <c r="A2468">
        <v>103510</v>
      </c>
      <c r="B2468">
        <v>913</v>
      </c>
      <c r="C2468" t="s">
        <v>597</v>
      </c>
      <c r="D2468" t="s">
        <v>742</v>
      </c>
      <c r="E2468" t="s">
        <v>4014</v>
      </c>
      <c r="F2468">
        <v>552</v>
      </c>
      <c r="G2468">
        <v>222814</v>
      </c>
    </row>
    <row r="2469" spans="1:13" x14ac:dyDescent="0.35">
      <c r="A2469">
        <v>103499</v>
      </c>
      <c r="B2469">
        <v>2533</v>
      </c>
      <c r="C2469" t="s">
        <v>602</v>
      </c>
      <c r="D2469" t="s">
        <v>603</v>
      </c>
      <c r="E2469" t="s">
        <v>4015</v>
      </c>
      <c r="G2469">
        <v>222843</v>
      </c>
    </row>
    <row r="2470" spans="1:13" x14ac:dyDescent="0.35">
      <c r="A2470">
        <v>101019</v>
      </c>
      <c r="B2470">
        <v>1897</v>
      </c>
      <c r="C2470" t="s">
        <v>597</v>
      </c>
      <c r="D2470" t="s">
        <v>598</v>
      </c>
      <c r="E2470" t="s">
        <v>4016</v>
      </c>
      <c r="G2470">
        <v>217761</v>
      </c>
    </row>
    <row r="2471" spans="1:13" x14ac:dyDescent="0.35">
      <c r="A2471">
        <v>103537</v>
      </c>
      <c r="B2471">
        <v>2536</v>
      </c>
      <c r="C2471" t="s">
        <v>602</v>
      </c>
      <c r="D2471" t="s">
        <v>603</v>
      </c>
      <c r="E2471" t="s">
        <v>4017</v>
      </c>
      <c r="G2471">
        <v>228461</v>
      </c>
    </row>
    <row r="2472" spans="1:13" x14ac:dyDescent="0.35">
      <c r="A2472">
        <v>102104</v>
      </c>
      <c r="B2472">
        <v>1404</v>
      </c>
      <c r="C2472" t="s">
        <v>597</v>
      </c>
      <c r="D2472" t="s">
        <v>1066</v>
      </c>
      <c r="E2472" t="s">
        <v>4018</v>
      </c>
    </row>
    <row r="2473" spans="1:13" x14ac:dyDescent="0.35">
      <c r="A2473">
        <v>101104</v>
      </c>
      <c r="B2473">
        <v>1907</v>
      </c>
      <c r="C2473" t="s">
        <v>597</v>
      </c>
      <c r="D2473" t="s">
        <v>598</v>
      </c>
      <c r="E2473" t="s">
        <v>4019</v>
      </c>
    </row>
    <row r="2474" spans="1:13" x14ac:dyDescent="0.35">
      <c r="A2474">
        <v>102263</v>
      </c>
      <c r="B2474">
        <v>2374</v>
      </c>
      <c r="C2474" t="s">
        <v>602</v>
      </c>
      <c r="D2474" t="s">
        <v>4020</v>
      </c>
      <c r="E2474" t="s">
        <v>505</v>
      </c>
      <c r="G2474">
        <v>23254</v>
      </c>
      <c r="M2474" t="s">
        <v>4021</v>
      </c>
    </row>
    <row r="2475" spans="1:13" x14ac:dyDescent="0.35">
      <c r="A2475">
        <v>0</v>
      </c>
      <c r="B2475">
        <v>3566</v>
      </c>
      <c r="C2475" t="s">
        <v>602</v>
      </c>
      <c r="D2475" t="s">
        <v>4020</v>
      </c>
      <c r="E2475" t="s">
        <v>4022</v>
      </c>
      <c r="G2475">
        <v>23254</v>
      </c>
    </row>
    <row r="2476" spans="1:13" x14ac:dyDescent="0.35">
      <c r="A2476">
        <v>103621</v>
      </c>
      <c r="B2476">
        <v>733</v>
      </c>
      <c r="C2476" t="s">
        <v>597</v>
      </c>
      <c r="D2476" t="s">
        <v>742</v>
      </c>
      <c r="E2476" t="s">
        <v>4023</v>
      </c>
      <c r="F2476">
        <v>359</v>
      </c>
    </row>
    <row r="2477" spans="1:13" x14ac:dyDescent="0.35">
      <c r="A2477">
        <v>103409</v>
      </c>
      <c r="B2477">
        <v>1556</v>
      </c>
      <c r="C2477" t="s">
        <v>597</v>
      </c>
      <c r="D2477" t="s">
        <v>1066</v>
      </c>
      <c r="E2477" t="s">
        <v>4024</v>
      </c>
    </row>
    <row r="2478" spans="1:13" x14ac:dyDescent="0.35">
      <c r="A2478">
        <v>102352</v>
      </c>
      <c r="B2478">
        <v>809</v>
      </c>
      <c r="C2478" t="s">
        <v>597</v>
      </c>
      <c r="D2478" t="s">
        <v>742</v>
      </c>
      <c r="E2478" t="s">
        <v>4025</v>
      </c>
      <c r="F2478">
        <v>218</v>
      </c>
    </row>
    <row r="2479" spans="1:13" x14ac:dyDescent="0.35">
      <c r="A2479">
        <v>104008</v>
      </c>
      <c r="B2479">
        <v>2598</v>
      </c>
      <c r="C2479" t="s">
        <v>602</v>
      </c>
      <c r="D2479" t="s">
        <v>603</v>
      </c>
      <c r="E2479" t="s">
        <v>242</v>
      </c>
      <c r="G2479">
        <v>226011</v>
      </c>
    </row>
    <row r="2480" spans="1:13" x14ac:dyDescent="0.35">
      <c r="A2480">
        <v>103566</v>
      </c>
      <c r="B2480">
        <v>880</v>
      </c>
      <c r="C2480" t="s">
        <v>597</v>
      </c>
      <c r="D2480" t="s">
        <v>742</v>
      </c>
      <c r="E2480" t="s">
        <v>4026</v>
      </c>
      <c r="F2480">
        <v>316</v>
      </c>
    </row>
    <row r="2481" spans="1:12" x14ac:dyDescent="0.35">
      <c r="A2481">
        <v>580</v>
      </c>
      <c r="B2481">
        <v>3565</v>
      </c>
      <c r="C2481" t="s">
        <v>602</v>
      </c>
      <c r="E2481" t="s">
        <v>4027</v>
      </c>
      <c r="G2481">
        <v>229723</v>
      </c>
      <c r="L2481" t="s">
        <v>965</v>
      </c>
    </row>
    <row r="2482" spans="1:12" x14ac:dyDescent="0.35">
      <c r="A2482">
        <v>101903</v>
      </c>
      <c r="B2482">
        <v>3538</v>
      </c>
      <c r="C2482" t="s">
        <v>602</v>
      </c>
      <c r="E2482" t="s">
        <v>4028</v>
      </c>
      <c r="G2482">
        <v>21333</v>
      </c>
      <c r="L2482" t="s">
        <v>965</v>
      </c>
    </row>
    <row r="2483" spans="1:12" x14ac:dyDescent="0.35">
      <c r="A2483">
        <v>103691</v>
      </c>
      <c r="B2483">
        <v>933</v>
      </c>
      <c r="C2483" t="s">
        <v>597</v>
      </c>
      <c r="D2483" t="s">
        <v>742</v>
      </c>
      <c r="E2483" t="s">
        <v>4029</v>
      </c>
      <c r="F2483">
        <v>570</v>
      </c>
    </row>
    <row r="2484" spans="1:12" x14ac:dyDescent="0.35">
      <c r="A2484">
        <v>103271</v>
      </c>
      <c r="B2484">
        <v>2161</v>
      </c>
      <c r="C2484" t="s">
        <v>597</v>
      </c>
      <c r="D2484" t="s">
        <v>598</v>
      </c>
      <c r="E2484" t="s">
        <v>4030</v>
      </c>
    </row>
    <row r="2485" spans="1:12" x14ac:dyDescent="0.35">
      <c r="A2485">
        <v>103966</v>
      </c>
      <c r="B2485">
        <v>1829</v>
      </c>
      <c r="C2485" t="s">
        <v>597</v>
      </c>
      <c r="D2485" t="s">
        <v>882</v>
      </c>
      <c r="E2485" t="s">
        <v>4031</v>
      </c>
    </row>
    <row r="2486" spans="1:12" x14ac:dyDescent="0.35">
      <c r="A2486">
        <v>103233</v>
      </c>
      <c r="B2486">
        <v>2510</v>
      </c>
      <c r="C2486" t="s">
        <v>602</v>
      </c>
      <c r="D2486" t="s">
        <v>603</v>
      </c>
      <c r="E2486" t="s">
        <v>383</v>
      </c>
      <c r="G2486">
        <v>222311</v>
      </c>
    </row>
    <row r="2487" spans="1:12" x14ac:dyDescent="0.35">
      <c r="A2487">
        <v>102288</v>
      </c>
      <c r="B2487">
        <v>2383</v>
      </c>
      <c r="C2487" t="s">
        <v>602</v>
      </c>
      <c r="D2487" t="s">
        <v>603</v>
      </c>
      <c r="E2487" t="s">
        <v>563</v>
      </c>
      <c r="G2487">
        <v>22768</v>
      </c>
    </row>
    <row r="2488" spans="1:12" x14ac:dyDescent="0.35">
      <c r="A2488">
        <v>103746</v>
      </c>
      <c r="B2488">
        <v>659</v>
      </c>
      <c r="C2488" t="s">
        <v>597</v>
      </c>
      <c r="D2488" t="s">
        <v>742</v>
      </c>
      <c r="E2488" t="s">
        <v>4032</v>
      </c>
      <c r="F2488">
        <v>266</v>
      </c>
      <c r="G2488">
        <v>223281</v>
      </c>
    </row>
    <row r="2489" spans="1:12" x14ac:dyDescent="0.35">
      <c r="A2489">
        <v>103607</v>
      </c>
      <c r="B2489">
        <v>832</v>
      </c>
      <c r="C2489" t="s">
        <v>597</v>
      </c>
      <c r="D2489" t="s">
        <v>742</v>
      </c>
      <c r="E2489" t="s">
        <v>4033</v>
      </c>
      <c r="F2489">
        <v>565</v>
      </c>
    </row>
    <row r="2490" spans="1:12" x14ac:dyDescent="0.35">
      <c r="A2490">
        <v>104492</v>
      </c>
      <c r="B2490">
        <v>3545</v>
      </c>
      <c r="C2490" t="s">
        <v>602</v>
      </c>
      <c r="D2490" t="s">
        <v>1061</v>
      </c>
      <c r="E2490" t="s">
        <v>4034</v>
      </c>
      <c r="G2490">
        <v>229690</v>
      </c>
      <c r="H2490" t="s">
        <v>964</v>
      </c>
      <c r="L2490" t="s">
        <v>965</v>
      </c>
    </row>
    <row r="2491" spans="1:12" x14ac:dyDescent="0.35">
      <c r="A2491">
        <v>101043</v>
      </c>
      <c r="B2491">
        <v>1707</v>
      </c>
      <c r="C2491" t="s">
        <v>597</v>
      </c>
      <c r="D2491" t="s">
        <v>3443</v>
      </c>
      <c r="E2491" t="s">
        <v>4035</v>
      </c>
    </row>
    <row r="2492" spans="1:12" x14ac:dyDescent="0.35">
      <c r="A2492">
        <v>103169</v>
      </c>
      <c r="B2492">
        <v>2497</v>
      </c>
      <c r="C2492" t="s">
        <v>597</v>
      </c>
      <c r="D2492" t="s">
        <v>603</v>
      </c>
      <c r="E2492" t="s">
        <v>4036</v>
      </c>
      <c r="G2492">
        <v>1243</v>
      </c>
    </row>
    <row r="2493" spans="1:12" x14ac:dyDescent="0.35">
      <c r="A2493">
        <v>101932</v>
      </c>
      <c r="B2493">
        <v>2027</v>
      </c>
      <c r="C2493" t="s">
        <v>597</v>
      </c>
      <c r="D2493" t="s">
        <v>598</v>
      </c>
      <c r="E2493" t="s">
        <v>4037</v>
      </c>
      <c r="G2493">
        <v>983</v>
      </c>
    </row>
    <row r="2494" spans="1:12" x14ac:dyDescent="0.35">
      <c r="A2494">
        <v>102783</v>
      </c>
      <c r="B2494">
        <v>837</v>
      </c>
      <c r="C2494" t="s">
        <v>597</v>
      </c>
      <c r="D2494" t="s">
        <v>742</v>
      </c>
      <c r="E2494" t="s">
        <v>4038</v>
      </c>
      <c r="F2494">
        <v>472</v>
      </c>
      <c r="G2494">
        <v>221647</v>
      </c>
    </row>
    <row r="2495" spans="1:12" x14ac:dyDescent="0.35">
      <c r="A2495">
        <v>101670</v>
      </c>
      <c r="B2495">
        <v>1304</v>
      </c>
      <c r="C2495" t="s">
        <v>597</v>
      </c>
      <c r="D2495" t="s">
        <v>3417</v>
      </c>
      <c r="E2495" t="s">
        <v>4039</v>
      </c>
      <c r="G2495">
        <v>218102</v>
      </c>
    </row>
    <row r="2496" spans="1:12" x14ac:dyDescent="0.35">
      <c r="A2496">
        <v>104149</v>
      </c>
      <c r="B2496">
        <v>2616</v>
      </c>
      <c r="C2496" t="s">
        <v>597</v>
      </c>
      <c r="D2496" t="s">
        <v>603</v>
      </c>
      <c r="E2496" t="s">
        <v>4040</v>
      </c>
    </row>
    <row r="2497" spans="1:7" x14ac:dyDescent="0.35">
      <c r="A2497">
        <v>104111</v>
      </c>
      <c r="B2497">
        <v>1766</v>
      </c>
      <c r="C2497" t="s">
        <v>597</v>
      </c>
      <c r="D2497" t="s">
        <v>2003</v>
      </c>
      <c r="E2497" t="s">
        <v>4041</v>
      </c>
      <c r="F2497">
        <v>2044</v>
      </c>
    </row>
    <row r="2498" spans="1:7" x14ac:dyDescent="0.35">
      <c r="A2498">
        <v>102002</v>
      </c>
      <c r="B2498">
        <v>2340</v>
      </c>
      <c r="C2498" t="s">
        <v>597</v>
      </c>
      <c r="D2498" t="s">
        <v>603</v>
      </c>
      <c r="E2498" t="s">
        <v>4042</v>
      </c>
      <c r="G2498">
        <v>805</v>
      </c>
    </row>
    <row r="2499" spans="1:7" x14ac:dyDescent="0.35">
      <c r="A2499">
        <v>101133</v>
      </c>
      <c r="B2499">
        <v>2242</v>
      </c>
      <c r="C2499" t="s">
        <v>602</v>
      </c>
      <c r="D2499" t="s">
        <v>603</v>
      </c>
      <c r="E2499" t="s">
        <v>213</v>
      </c>
      <c r="G2499">
        <v>1849</v>
      </c>
    </row>
    <row r="2500" spans="1:7" x14ac:dyDescent="0.35">
      <c r="A2500">
        <v>101127</v>
      </c>
      <c r="B2500">
        <v>1301</v>
      </c>
      <c r="C2500" t="s">
        <v>597</v>
      </c>
      <c r="D2500" t="s">
        <v>3417</v>
      </c>
      <c r="E2500" t="s">
        <v>4043</v>
      </c>
      <c r="G2500">
        <v>1203</v>
      </c>
    </row>
    <row r="2501" spans="1:7" x14ac:dyDescent="0.35">
      <c r="A2501">
        <v>102737</v>
      </c>
      <c r="B2501">
        <v>2452</v>
      </c>
      <c r="C2501" t="s">
        <v>597</v>
      </c>
      <c r="D2501" t="s">
        <v>603</v>
      </c>
      <c r="E2501" t="s">
        <v>4044</v>
      </c>
      <c r="G2501">
        <v>221466</v>
      </c>
    </row>
    <row r="2502" spans="1:7" x14ac:dyDescent="0.35">
      <c r="A2502">
        <v>102179</v>
      </c>
      <c r="B2502">
        <v>2360</v>
      </c>
      <c r="C2502" t="s">
        <v>597</v>
      </c>
      <c r="D2502" t="s">
        <v>603</v>
      </c>
      <c r="E2502" t="s">
        <v>4045</v>
      </c>
      <c r="G2502">
        <v>773</v>
      </c>
    </row>
    <row r="2503" spans="1:7" x14ac:dyDescent="0.35">
      <c r="A2503">
        <v>101715</v>
      </c>
      <c r="B2503">
        <v>1327</v>
      </c>
      <c r="C2503" t="s">
        <v>597</v>
      </c>
      <c r="D2503" t="s">
        <v>3417</v>
      </c>
      <c r="E2503" t="s">
        <v>4046</v>
      </c>
      <c r="G2503">
        <v>21121</v>
      </c>
    </row>
    <row r="2504" spans="1:7" x14ac:dyDescent="0.35">
      <c r="A2504">
        <v>101924</v>
      </c>
      <c r="B2504">
        <v>2321</v>
      </c>
      <c r="C2504" t="s">
        <v>597</v>
      </c>
      <c r="D2504" t="s">
        <v>603</v>
      </c>
      <c r="E2504" t="s">
        <v>4047</v>
      </c>
    </row>
    <row r="2505" spans="1:7" x14ac:dyDescent="0.35">
      <c r="A2505">
        <v>102107</v>
      </c>
      <c r="B2505">
        <v>2349</v>
      </c>
      <c r="C2505" t="s">
        <v>597</v>
      </c>
      <c r="D2505" t="s">
        <v>603</v>
      </c>
      <c r="E2505" t="s">
        <v>4048</v>
      </c>
    </row>
    <row r="2506" spans="1:7" x14ac:dyDescent="0.35">
      <c r="A2506">
        <v>101691</v>
      </c>
      <c r="B2506">
        <v>1316</v>
      </c>
      <c r="C2506" t="s">
        <v>597</v>
      </c>
      <c r="D2506" t="s">
        <v>3417</v>
      </c>
      <c r="E2506" t="s">
        <v>4049</v>
      </c>
      <c r="G2506">
        <v>1722</v>
      </c>
    </row>
    <row r="2507" spans="1:7" x14ac:dyDescent="0.35">
      <c r="A2507">
        <v>102798</v>
      </c>
      <c r="B2507">
        <v>886</v>
      </c>
      <c r="C2507" t="s">
        <v>597</v>
      </c>
      <c r="D2507" t="s">
        <v>742</v>
      </c>
      <c r="E2507" t="s">
        <v>4050</v>
      </c>
      <c r="F2507">
        <v>409</v>
      </c>
    </row>
    <row r="2508" spans="1:7" x14ac:dyDescent="0.35">
      <c r="A2508">
        <v>101620</v>
      </c>
      <c r="B2508">
        <v>2270</v>
      </c>
      <c r="C2508" t="s">
        <v>602</v>
      </c>
      <c r="D2508" t="s">
        <v>603</v>
      </c>
      <c r="E2508" t="s">
        <v>97</v>
      </c>
      <c r="G2508">
        <v>1120</v>
      </c>
    </row>
    <row r="2509" spans="1:7" x14ac:dyDescent="0.35">
      <c r="A2509">
        <v>102293</v>
      </c>
      <c r="B2509">
        <v>2385</v>
      </c>
      <c r="C2509" t="s">
        <v>602</v>
      </c>
      <c r="D2509" t="s">
        <v>603</v>
      </c>
      <c r="E2509" t="s">
        <v>4051</v>
      </c>
      <c r="G2509">
        <v>885</v>
      </c>
    </row>
    <row r="2510" spans="1:7" x14ac:dyDescent="0.35">
      <c r="A2510">
        <v>103170</v>
      </c>
      <c r="B2510">
        <v>2498</v>
      </c>
      <c r="C2510" t="s">
        <v>602</v>
      </c>
      <c r="D2510" t="s">
        <v>603</v>
      </c>
      <c r="E2510" t="s">
        <v>4052</v>
      </c>
      <c r="G2510">
        <v>2897</v>
      </c>
    </row>
    <row r="2511" spans="1:7" x14ac:dyDescent="0.35">
      <c r="A2511">
        <v>101509</v>
      </c>
      <c r="B2511">
        <v>2265</v>
      </c>
      <c r="C2511" t="s">
        <v>597</v>
      </c>
      <c r="D2511" t="s">
        <v>603</v>
      </c>
      <c r="E2511" t="s">
        <v>4053</v>
      </c>
      <c r="F2511">
        <v>108</v>
      </c>
      <c r="G2511">
        <v>2121</v>
      </c>
    </row>
    <row r="2512" spans="1:7" x14ac:dyDescent="0.35">
      <c r="A2512">
        <v>101655</v>
      </c>
      <c r="B2512">
        <v>2276</v>
      </c>
      <c r="C2512" t="s">
        <v>602</v>
      </c>
      <c r="D2512" t="s">
        <v>603</v>
      </c>
      <c r="E2512" t="s">
        <v>4054</v>
      </c>
      <c r="G2512">
        <v>226832</v>
      </c>
    </row>
    <row r="2513" spans="1:12" x14ac:dyDescent="0.35">
      <c r="A2513">
        <v>103386</v>
      </c>
      <c r="B2513">
        <v>606</v>
      </c>
      <c r="C2513" t="s">
        <v>597</v>
      </c>
      <c r="D2513" t="s">
        <v>742</v>
      </c>
      <c r="E2513" t="s">
        <v>4055</v>
      </c>
      <c r="F2513">
        <v>418</v>
      </c>
      <c r="G2513">
        <v>220757</v>
      </c>
    </row>
    <row r="2514" spans="1:12" x14ac:dyDescent="0.35">
      <c r="A2514">
        <v>102299</v>
      </c>
      <c r="B2514">
        <v>2386</v>
      </c>
      <c r="C2514" t="s">
        <v>597</v>
      </c>
      <c r="D2514" t="s">
        <v>603</v>
      </c>
      <c r="E2514" t="s">
        <v>4056</v>
      </c>
      <c r="F2514">
        <v>276001</v>
      </c>
      <c r="G2514">
        <v>220338</v>
      </c>
    </row>
    <row r="2515" spans="1:12" x14ac:dyDescent="0.35">
      <c r="A2515">
        <v>101213</v>
      </c>
      <c r="B2515">
        <v>641</v>
      </c>
      <c r="C2515" t="s">
        <v>597</v>
      </c>
      <c r="D2515" t="s">
        <v>742</v>
      </c>
      <c r="E2515" t="s">
        <v>4057</v>
      </c>
      <c r="F2515">
        <v>631</v>
      </c>
      <c r="G2515">
        <v>219639</v>
      </c>
    </row>
    <row r="2516" spans="1:12" x14ac:dyDescent="0.35">
      <c r="A2516">
        <v>103740</v>
      </c>
      <c r="B2516">
        <v>727</v>
      </c>
      <c r="C2516" t="s">
        <v>597</v>
      </c>
      <c r="D2516" t="s">
        <v>742</v>
      </c>
      <c r="E2516" t="s">
        <v>4058</v>
      </c>
      <c r="F2516">
        <v>361</v>
      </c>
      <c r="G2516">
        <v>20669</v>
      </c>
    </row>
    <row r="2517" spans="1:12" x14ac:dyDescent="0.35">
      <c r="A2517">
        <v>103504</v>
      </c>
      <c r="B2517">
        <v>1618</v>
      </c>
      <c r="C2517" t="s">
        <v>597</v>
      </c>
      <c r="D2517" t="s">
        <v>1066</v>
      </c>
      <c r="E2517" t="s">
        <v>4059</v>
      </c>
    </row>
    <row r="2518" spans="1:12" x14ac:dyDescent="0.35">
      <c r="A2518">
        <v>102291</v>
      </c>
      <c r="B2518">
        <v>1328</v>
      </c>
      <c r="C2518" t="s">
        <v>597</v>
      </c>
      <c r="D2518" t="s">
        <v>3417</v>
      </c>
      <c r="E2518" t="s">
        <v>4060</v>
      </c>
      <c r="G2518">
        <v>1074</v>
      </c>
    </row>
    <row r="2519" spans="1:12" x14ac:dyDescent="0.35">
      <c r="A2519">
        <v>101757</v>
      </c>
      <c r="B2519">
        <v>2285</v>
      </c>
      <c r="C2519" t="s">
        <v>602</v>
      </c>
      <c r="D2519" t="s">
        <v>603</v>
      </c>
      <c r="E2519" t="s">
        <v>111</v>
      </c>
      <c r="G2519">
        <v>1430</v>
      </c>
    </row>
    <row r="2520" spans="1:12" x14ac:dyDescent="0.35">
      <c r="A2520">
        <v>104495</v>
      </c>
      <c r="B2520">
        <v>3559</v>
      </c>
      <c r="C2520" t="s">
        <v>602</v>
      </c>
      <c r="D2520" t="s">
        <v>1061</v>
      </c>
      <c r="E2520" t="s">
        <v>4061</v>
      </c>
      <c r="F2520">
        <v>7507</v>
      </c>
      <c r="G2520">
        <v>229717</v>
      </c>
      <c r="L2520" t="s">
        <v>980</v>
      </c>
    </row>
    <row r="2521" spans="1:12" x14ac:dyDescent="0.35">
      <c r="A2521">
        <v>104095</v>
      </c>
      <c r="B2521">
        <v>2609</v>
      </c>
      <c r="C2521" t="s">
        <v>602</v>
      </c>
      <c r="D2521" t="s">
        <v>603</v>
      </c>
      <c r="E2521" t="s">
        <v>153</v>
      </c>
      <c r="F2521">
        <v>2028</v>
      </c>
      <c r="G2521">
        <v>226302</v>
      </c>
    </row>
    <row r="2522" spans="1:12" x14ac:dyDescent="0.35">
      <c r="A2522">
        <v>104109</v>
      </c>
      <c r="B2522">
        <v>1764</v>
      </c>
      <c r="C2522" t="s">
        <v>597</v>
      </c>
      <c r="D2522" t="s">
        <v>2003</v>
      </c>
      <c r="E2522" t="s">
        <v>4062</v>
      </c>
      <c r="F2522">
        <v>2103</v>
      </c>
    </row>
    <row r="2523" spans="1:12" x14ac:dyDescent="0.35">
      <c r="A2523">
        <v>104313</v>
      </c>
      <c r="B2523">
        <v>1769</v>
      </c>
      <c r="C2523" t="s">
        <v>597</v>
      </c>
      <c r="D2523" t="s">
        <v>2003</v>
      </c>
      <c r="E2523" t="s">
        <v>4063</v>
      </c>
      <c r="F2523">
        <v>2207</v>
      </c>
      <c r="G2523">
        <v>228074</v>
      </c>
      <c r="H2523" t="s">
        <v>1458</v>
      </c>
    </row>
    <row r="2524" spans="1:12" x14ac:dyDescent="0.35">
      <c r="A2524">
        <v>102145</v>
      </c>
      <c r="B2524">
        <v>2352</v>
      </c>
      <c r="C2524" t="s">
        <v>602</v>
      </c>
      <c r="D2524" t="s">
        <v>603</v>
      </c>
      <c r="E2524" t="s">
        <v>4064</v>
      </c>
      <c r="G2524">
        <v>2581</v>
      </c>
    </row>
    <row r="2525" spans="1:12" x14ac:dyDescent="0.35">
      <c r="A2525">
        <v>103762</v>
      </c>
      <c r="B2525">
        <v>2566</v>
      </c>
      <c r="C2525" t="s">
        <v>597</v>
      </c>
      <c r="D2525" t="s">
        <v>603</v>
      </c>
      <c r="E2525" t="s">
        <v>4065</v>
      </c>
      <c r="G2525">
        <v>226271</v>
      </c>
    </row>
    <row r="2526" spans="1:12" x14ac:dyDescent="0.35">
      <c r="A2526">
        <v>104131</v>
      </c>
      <c r="B2526">
        <v>1678</v>
      </c>
      <c r="C2526" t="s">
        <v>602</v>
      </c>
      <c r="D2526" t="s">
        <v>3237</v>
      </c>
      <c r="E2526" t="s">
        <v>4066</v>
      </c>
      <c r="G2526">
        <v>226430</v>
      </c>
      <c r="H2526" t="s">
        <v>964</v>
      </c>
    </row>
    <row r="2527" spans="1:12" x14ac:dyDescent="0.35">
      <c r="A2527">
        <v>102165</v>
      </c>
      <c r="B2527">
        <v>2357</v>
      </c>
      <c r="C2527" t="s">
        <v>602</v>
      </c>
      <c r="D2527" t="s">
        <v>603</v>
      </c>
      <c r="E2527" t="s">
        <v>4067</v>
      </c>
      <c r="G2527">
        <v>2607</v>
      </c>
    </row>
    <row r="2528" spans="1:12" x14ac:dyDescent="0.35">
      <c r="A2528">
        <v>0</v>
      </c>
      <c r="B2528">
        <v>3451</v>
      </c>
      <c r="C2528" t="s">
        <v>602</v>
      </c>
      <c r="D2528" t="s">
        <v>1301</v>
      </c>
      <c r="E2528" t="s">
        <v>4068</v>
      </c>
      <c r="G2528">
        <v>0</v>
      </c>
    </row>
    <row r="2529" spans="1:7" x14ac:dyDescent="0.35">
      <c r="A2529">
        <v>102751</v>
      </c>
      <c r="B2529">
        <v>2459</v>
      </c>
      <c r="C2529" t="s">
        <v>602</v>
      </c>
      <c r="D2529" t="s">
        <v>603</v>
      </c>
      <c r="E2529" t="s">
        <v>4069</v>
      </c>
      <c r="G2529">
        <v>553</v>
      </c>
    </row>
    <row r="2530" spans="1:7" x14ac:dyDescent="0.35">
      <c r="A2530">
        <v>102686</v>
      </c>
      <c r="B2530">
        <v>2443</v>
      </c>
      <c r="C2530" t="s">
        <v>602</v>
      </c>
      <c r="D2530" t="s">
        <v>603</v>
      </c>
      <c r="E2530" t="s">
        <v>246</v>
      </c>
      <c r="G2530">
        <v>1578</v>
      </c>
    </row>
    <row r="2531" spans="1:7" x14ac:dyDescent="0.35">
      <c r="A2531">
        <v>104038</v>
      </c>
      <c r="B2531">
        <v>652</v>
      </c>
      <c r="C2531" t="s">
        <v>597</v>
      </c>
      <c r="D2531" t="s">
        <v>742</v>
      </c>
      <c r="E2531" t="s">
        <v>4070</v>
      </c>
      <c r="F2531">
        <v>513</v>
      </c>
      <c r="G2531">
        <v>220278</v>
      </c>
    </row>
    <row r="2532" spans="1:7" x14ac:dyDescent="0.35">
      <c r="A2532">
        <v>104350</v>
      </c>
      <c r="B2532">
        <v>3081</v>
      </c>
      <c r="C2532" t="s">
        <v>602</v>
      </c>
      <c r="D2532" t="s">
        <v>603</v>
      </c>
      <c r="E2532" t="s">
        <v>4071</v>
      </c>
      <c r="G2532">
        <v>228939</v>
      </c>
    </row>
    <row r="2533" spans="1:7" x14ac:dyDescent="0.35">
      <c r="A2533">
        <v>0</v>
      </c>
      <c r="B2533">
        <v>3383</v>
      </c>
      <c r="C2533" t="s">
        <v>602</v>
      </c>
      <c r="D2533" t="s">
        <v>2470</v>
      </c>
      <c r="E2533" t="s">
        <v>4072</v>
      </c>
      <c r="G2533">
        <v>0</v>
      </c>
    </row>
    <row r="2534" spans="1:7" x14ac:dyDescent="0.35">
      <c r="A2534">
        <v>103596</v>
      </c>
      <c r="B2534">
        <v>667</v>
      </c>
      <c r="C2534" t="s">
        <v>597</v>
      </c>
      <c r="D2534" t="s">
        <v>742</v>
      </c>
      <c r="E2534" t="s">
        <v>4073</v>
      </c>
      <c r="F2534">
        <v>314</v>
      </c>
    </row>
    <row r="2535" spans="1:7" x14ac:dyDescent="0.35">
      <c r="A2535">
        <v>102503</v>
      </c>
      <c r="B2535">
        <v>2420</v>
      </c>
      <c r="C2535" t="s">
        <v>602</v>
      </c>
      <c r="D2535" t="s">
        <v>603</v>
      </c>
      <c r="E2535" t="s">
        <v>278</v>
      </c>
      <c r="G2535">
        <v>3085</v>
      </c>
    </row>
    <row r="2536" spans="1:7" x14ac:dyDescent="0.35">
      <c r="A2536">
        <v>104089</v>
      </c>
      <c r="B2536">
        <v>738</v>
      </c>
      <c r="C2536" t="s">
        <v>597</v>
      </c>
      <c r="D2536" t="s">
        <v>742</v>
      </c>
      <c r="E2536" t="s">
        <v>4074</v>
      </c>
      <c r="F2536">
        <v>548</v>
      </c>
    </row>
    <row r="2537" spans="1:7" x14ac:dyDescent="0.35">
      <c r="A2537">
        <v>101898</v>
      </c>
      <c r="B2537">
        <v>2314</v>
      </c>
      <c r="C2537" t="s">
        <v>602</v>
      </c>
      <c r="D2537" t="s">
        <v>3443</v>
      </c>
      <c r="E2537" t="s">
        <v>258</v>
      </c>
      <c r="G2537">
        <v>1561</v>
      </c>
    </row>
    <row r="2538" spans="1:7" x14ac:dyDescent="0.35">
      <c r="A2538">
        <v>101042</v>
      </c>
      <c r="B2538">
        <v>2233</v>
      </c>
      <c r="C2538" t="s">
        <v>602</v>
      </c>
      <c r="D2538" t="s">
        <v>603</v>
      </c>
      <c r="E2538" t="s">
        <v>4075</v>
      </c>
      <c r="G2538">
        <v>1078</v>
      </c>
    </row>
    <row r="2539" spans="1:7" x14ac:dyDescent="0.35">
      <c r="A2539">
        <v>101069</v>
      </c>
      <c r="B2539">
        <v>855</v>
      </c>
      <c r="C2539" t="s">
        <v>597</v>
      </c>
      <c r="D2539" t="s">
        <v>742</v>
      </c>
      <c r="E2539" t="s">
        <v>4076</v>
      </c>
      <c r="F2539">
        <v>479</v>
      </c>
    </row>
    <row r="2540" spans="1:7" x14ac:dyDescent="0.35">
      <c r="A2540">
        <v>104181</v>
      </c>
      <c r="B2540">
        <v>1717</v>
      </c>
      <c r="C2540" t="s">
        <v>597</v>
      </c>
      <c r="D2540" t="s">
        <v>3443</v>
      </c>
      <c r="E2540" t="s">
        <v>4077</v>
      </c>
    </row>
    <row r="2541" spans="1:7" x14ac:dyDescent="0.35">
      <c r="A2541">
        <v>104232</v>
      </c>
      <c r="B2541">
        <v>2623</v>
      </c>
      <c r="C2541" t="s">
        <v>602</v>
      </c>
      <c r="D2541" t="s">
        <v>603</v>
      </c>
      <c r="E2541" t="s">
        <v>404</v>
      </c>
      <c r="G2541">
        <v>227336</v>
      </c>
    </row>
    <row r="2542" spans="1:7" x14ac:dyDescent="0.35">
      <c r="A2542">
        <v>103982</v>
      </c>
      <c r="B2542">
        <v>2591</v>
      </c>
      <c r="C2542" t="s">
        <v>597</v>
      </c>
      <c r="D2542" t="s">
        <v>603</v>
      </c>
      <c r="E2542" t="s">
        <v>4078</v>
      </c>
      <c r="G2542">
        <v>225139</v>
      </c>
    </row>
    <row r="2543" spans="1:7" x14ac:dyDescent="0.35">
      <c r="A2543">
        <v>103988</v>
      </c>
      <c r="B2543">
        <v>2593</v>
      </c>
      <c r="C2543" t="s">
        <v>602</v>
      </c>
      <c r="D2543" t="s">
        <v>603</v>
      </c>
      <c r="E2543" t="s">
        <v>4079</v>
      </c>
      <c r="G2543">
        <v>225955</v>
      </c>
    </row>
    <row r="2544" spans="1:7" x14ac:dyDescent="0.35">
      <c r="A2544">
        <v>102507</v>
      </c>
      <c r="B2544">
        <v>1712</v>
      </c>
      <c r="C2544" t="s">
        <v>597</v>
      </c>
      <c r="D2544" t="s">
        <v>3443</v>
      </c>
      <c r="E2544" t="s">
        <v>4080</v>
      </c>
      <c r="G2544">
        <v>220976</v>
      </c>
    </row>
    <row r="2545" spans="1:8" x14ac:dyDescent="0.35">
      <c r="A2545">
        <v>103618</v>
      </c>
      <c r="B2545">
        <v>666</v>
      </c>
      <c r="C2545" t="s">
        <v>597</v>
      </c>
      <c r="D2545" t="s">
        <v>742</v>
      </c>
      <c r="E2545" t="s">
        <v>4081</v>
      </c>
      <c r="F2545">
        <v>182</v>
      </c>
    </row>
    <row r="2546" spans="1:8" x14ac:dyDescent="0.35">
      <c r="A2546">
        <v>104252</v>
      </c>
      <c r="B2546">
        <v>655</v>
      </c>
      <c r="C2546" t="s">
        <v>597</v>
      </c>
      <c r="D2546" t="s">
        <v>742</v>
      </c>
      <c r="E2546" t="s">
        <v>4082</v>
      </c>
      <c r="G2546">
        <v>227470</v>
      </c>
    </row>
    <row r="2547" spans="1:8" x14ac:dyDescent="0.35">
      <c r="A2547">
        <v>101739</v>
      </c>
      <c r="B2547">
        <v>724</v>
      </c>
      <c r="C2547" t="s">
        <v>597</v>
      </c>
      <c r="D2547" t="s">
        <v>742</v>
      </c>
      <c r="E2547" t="s">
        <v>4083</v>
      </c>
      <c r="F2547">
        <v>368</v>
      </c>
      <c r="G2547">
        <v>218826</v>
      </c>
    </row>
    <row r="2548" spans="1:8" x14ac:dyDescent="0.35">
      <c r="A2548">
        <v>104148</v>
      </c>
      <c r="B2548">
        <v>1833</v>
      </c>
      <c r="C2548" t="s">
        <v>597</v>
      </c>
      <c r="D2548" t="s">
        <v>882</v>
      </c>
      <c r="E2548" t="s">
        <v>4084</v>
      </c>
      <c r="G2548">
        <v>226561</v>
      </c>
    </row>
    <row r="2549" spans="1:8" x14ac:dyDescent="0.35">
      <c r="A2549">
        <v>104119</v>
      </c>
      <c r="B2549">
        <v>760</v>
      </c>
      <c r="C2549" t="s">
        <v>597</v>
      </c>
      <c r="D2549" t="s">
        <v>742</v>
      </c>
      <c r="E2549" t="s">
        <v>4085</v>
      </c>
      <c r="F2549">
        <v>155</v>
      </c>
    </row>
    <row r="2550" spans="1:8" x14ac:dyDescent="0.35">
      <c r="A2550">
        <v>0</v>
      </c>
      <c r="B2550">
        <v>3295</v>
      </c>
      <c r="C2550" t="s">
        <v>1308</v>
      </c>
      <c r="D2550" t="s">
        <v>962</v>
      </c>
      <c r="E2550" t="s">
        <v>4086</v>
      </c>
      <c r="G2550">
        <v>0</v>
      </c>
    </row>
    <row r="2551" spans="1:8" x14ac:dyDescent="0.35">
      <c r="A2551">
        <v>103614</v>
      </c>
      <c r="B2551">
        <v>709</v>
      </c>
      <c r="C2551" t="s">
        <v>597</v>
      </c>
      <c r="D2551" t="s">
        <v>742</v>
      </c>
      <c r="E2551" t="s">
        <v>4087</v>
      </c>
      <c r="F2551">
        <v>295</v>
      </c>
    </row>
    <row r="2552" spans="1:8" x14ac:dyDescent="0.35">
      <c r="A2552">
        <v>101851</v>
      </c>
      <c r="B2552">
        <v>1356</v>
      </c>
      <c r="C2552" t="s">
        <v>597</v>
      </c>
      <c r="D2552" t="s">
        <v>1336</v>
      </c>
      <c r="E2552" t="s">
        <v>4088</v>
      </c>
      <c r="H2552" t="s">
        <v>1458</v>
      </c>
    </row>
    <row r="2553" spans="1:8" x14ac:dyDescent="0.35">
      <c r="A2553">
        <v>103914</v>
      </c>
      <c r="B2553">
        <v>1781</v>
      </c>
      <c r="C2553" t="s">
        <v>602</v>
      </c>
      <c r="D2553" t="s">
        <v>882</v>
      </c>
      <c r="E2553" t="s">
        <v>4089</v>
      </c>
      <c r="G2553">
        <v>225365</v>
      </c>
    </row>
    <row r="2554" spans="1:8" x14ac:dyDescent="0.35">
      <c r="A2554">
        <v>103952</v>
      </c>
      <c r="B2554">
        <v>1815</v>
      </c>
      <c r="C2554" t="s">
        <v>597</v>
      </c>
      <c r="D2554" t="s">
        <v>882</v>
      </c>
      <c r="E2554" t="s">
        <v>4090</v>
      </c>
      <c r="G2554">
        <v>225987</v>
      </c>
    </row>
    <row r="2555" spans="1:8" x14ac:dyDescent="0.35">
      <c r="A2555">
        <v>103126</v>
      </c>
      <c r="B2555">
        <v>1329</v>
      </c>
      <c r="C2555" t="s">
        <v>597</v>
      </c>
      <c r="D2555" t="s">
        <v>3417</v>
      </c>
      <c r="E2555" t="s">
        <v>4091</v>
      </c>
      <c r="G2555">
        <v>219045</v>
      </c>
    </row>
    <row r="2556" spans="1:8" x14ac:dyDescent="0.35">
      <c r="A2556">
        <v>103645</v>
      </c>
      <c r="B2556">
        <v>696</v>
      </c>
      <c r="C2556" t="s">
        <v>597</v>
      </c>
      <c r="D2556" t="s">
        <v>742</v>
      </c>
      <c r="E2556" t="s">
        <v>4092</v>
      </c>
      <c r="F2556">
        <v>400</v>
      </c>
    </row>
    <row r="2557" spans="1:8" x14ac:dyDescent="0.35">
      <c r="A2557">
        <v>104184</v>
      </c>
      <c r="B2557">
        <v>2618</v>
      </c>
      <c r="C2557" t="s">
        <v>597</v>
      </c>
      <c r="D2557" t="s">
        <v>603</v>
      </c>
      <c r="E2557" t="s">
        <v>4093</v>
      </c>
      <c r="G2557">
        <v>226878</v>
      </c>
    </row>
    <row r="2558" spans="1:8" x14ac:dyDescent="0.35">
      <c r="A2558">
        <v>102358</v>
      </c>
      <c r="B2558">
        <v>2394</v>
      </c>
      <c r="C2558" t="s">
        <v>597</v>
      </c>
      <c r="D2558" t="s">
        <v>603</v>
      </c>
      <c r="E2558" t="s">
        <v>4094</v>
      </c>
    </row>
    <row r="2559" spans="1:8" x14ac:dyDescent="0.35">
      <c r="A2559">
        <v>104068</v>
      </c>
      <c r="B2559">
        <v>596</v>
      </c>
      <c r="C2559" t="s">
        <v>597</v>
      </c>
      <c r="D2559" t="s">
        <v>742</v>
      </c>
      <c r="E2559" t="s">
        <v>4095</v>
      </c>
      <c r="F2559">
        <v>451</v>
      </c>
      <c r="G2559">
        <v>1530</v>
      </c>
    </row>
    <row r="2560" spans="1:8" x14ac:dyDescent="0.35">
      <c r="A2560">
        <v>104209</v>
      </c>
      <c r="B2560">
        <v>2226</v>
      </c>
      <c r="C2560" t="s">
        <v>597</v>
      </c>
      <c r="D2560" t="s">
        <v>598</v>
      </c>
      <c r="E2560" t="s">
        <v>4096</v>
      </c>
    </row>
    <row r="2561" spans="1:13" x14ac:dyDescent="0.35">
      <c r="A2561">
        <v>101992</v>
      </c>
      <c r="B2561">
        <v>2337</v>
      </c>
      <c r="C2561" t="s">
        <v>602</v>
      </c>
      <c r="D2561" t="s">
        <v>603</v>
      </c>
      <c r="E2561" t="s">
        <v>4097</v>
      </c>
      <c r="G2561">
        <v>21253</v>
      </c>
    </row>
    <row r="2562" spans="1:13" x14ac:dyDescent="0.35">
      <c r="A2562">
        <v>0</v>
      </c>
      <c r="B2562">
        <v>3075</v>
      </c>
      <c r="C2562" t="s">
        <v>602</v>
      </c>
      <c r="D2562" t="s">
        <v>3408</v>
      </c>
      <c r="E2562" t="s">
        <v>1301</v>
      </c>
    </row>
    <row r="2563" spans="1:13" x14ac:dyDescent="0.35">
      <c r="A2563">
        <v>103755</v>
      </c>
      <c r="B2563">
        <v>774</v>
      </c>
      <c r="C2563" t="s">
        <v>597</v>
      </c>
      <c r="D2563" t="s">
        <v>742</v>
      </c>
      <c r="E2563" t="s">
        <v>4098</v>
      </c>
      <c r="F2563">
        <v>613</v>
      </c>
      <c r="G2563">
        <v>225116</v>
      </c>
    </row>
    <row r="2564" spans="1:13" x14ac:dyDescent="0.35">
      <c r="A2564">
        <v>102236</v>
      </c>
      <c r="B2564">
        <v>2370</v>
      </c>
      <c r="C2564" t="s">
        <v>602</v>
      </c>
      <c r="D2564" t="s">
        <v>603</v>
      </c>
      <c r="E2564" t="s">
        <v>4099</v>
      </c>
      <c r="G2564">
        <v>604</v>
      </c>
    </row>
    <row r="2565" spans="1:13" x14ac:dyDescent="0.35">
      <c r="A2565">
        <v>104057</v>
      </c>
      <c r="B2565">
        <v>888</v>
      </c>
      <c r="C2565" t="s">
        <v>597</v>
      </c>
      <c r="D2565" t="s">
        <v>742</v>
      </c>
      <c r="E2565" t="s">
        <v>4100</v>
      </c>
      <c r="F2565">
        <v>274</v>
      </c>
      <c r="G2565">
        <v>1898</v>
      </c>
    </row>
    <row r="2566" spans="1:13" x14ac:dyDescent="0.35">
      <c r="A2566">
        <v>101697</v>
      </c>
      <c r="B2566">
        <v>1321</v>
      </c>
      <c r="C2566" t="s">
        <v>597</v>
      </c>
      <c r="D2566" t="s">
        <v>3417</v>
      </c>
      <c r="E2566" t="s">
        <v>4101</v>
      </c>
      <c r="G2566">
        <v>219822</v>
      </c>
    </row>
    <row r="2567" spans="1:13" x14ac:dyDescent="0.35">
      <c r="A2567">
        <v>0</v>
      </c>
      <c r="B2567">
        <v>2670</v>
      </c>
      <c r="C2567" t="s">
        <v>602</v>
      </c>
      <c r="D2567" t="s">
        <v>3408</v>
      </c>
      <c r="E2567" t="s">
        <v>3351</v>
      </c>
    </row>
    <row r="2568" spans="1:13" x14ac:dyDescent="0.35">
      <c r="A2568">
        <v>102787</v>
      </c>
      <c r="B2568">
        <v>1713</v>
      </c>
      <c r="C2568" t="s">
        <v>597</v>
      </c>
      <c r="D2568" t="s">
        <v>3443</v>
      </c>
      <c r="E2568" t="s">
        <v>4102</v>
      </c>
    </row>
    <row r="2569" spans="1:13" x14ac:dyDescent="0.35">
      <c r="A2569">
        <v>105004</v>
      </c>
      <c r="B2569">
        <v>1841</v>
      </c>
      <c r="C2569" t="s">
        <v>597</v>
      </c>
      <c r="D2569" t="s">
        <v>882</v>
      </c>
      <c r="E2569" t="s">
        <v>4103</v>
      </c>
    </row>
    <row r="2570" spans="1:13" x14ac:dyDescent="0.35">
      <c r="A2570">
        <v>103934</v>
      </c>
      <c r="B2570">
        <v>1798</v>
      </c>
      <c r="C2570" t="s">
        <v>597</v>
      </c>
      <c r="D2570" t="s">
        <v>882</v>
      </c>
      <c r="E2570" t="s">
        <v>4104</v>
      </c>
      <c r="G2570">
        <v>225929</v>
      </c>
    </row>
    <row r="2571" spans="1:13" x14ac:dyDescent="0.35">
      <c r="A2571">
        <v>104114</v>
      </c>
      <c r="B2571">
        <v>622</v>
      </c>
      <c r="C2571" t="s">
        <v>597</v>
      </c>
      <c r="D2571" t="s">
        <v>742</v>
      </c>
      <c r="E2571" t="s">
        <v>4105</v>
      </c>
      <c r="F2571">
        <v>511</v>
      </c>
      <c r="G2571">
        <v>226294</v>
      </c>
    </row>
    <row r="2572" spans="1:13" x14ac:dyDescent="0.35">
      <c r="A2572">
        <v>101942</v>
      </c>
      <c r="B2572">
        <v>835</v>
      </c>
      <c r="C2572" t="s">
        <v>597</v>
      </c>
      <c r="D2572" t="s">
        <v>742</v>
      </c>
      <c r="E2572" t="s">
        <v>4106</v>
      </c>
      <c r="F2572">
        <v>367</v>
      </c>
      <c r="G2572">
        <v>1730</v>
      </c>
    </row>
    <row r="2573" spans="1:13" x14ac:dyDescent="0.35">
      <c r="A2573">
        <v>101182</v>
      </c>
      <c r="B2573">
        <v>2246</v>
      </c>
      <c r="C2573" t="s">
        <v>597</v>
      </c>
      <c r="D2573" t="s">
        <v>603</v>
      </c>
      <c r="E2573" t="s">
        <v>4107</v>
      </c>
    </row>
    <row r="2574" spans="1:13" x14ac:dyDescent="0.35">
      <c r="A2574">
        <v>101103</v>
      </c>
      <c r="B2574">
        <v>1906</v>
      </c>
      <c r="C2574" t="s">
        <v>597</v>
      </c>
      <c r="D2574" t="s">
        <v>598</v>
      </c>
      <c r="E2574" t="s">
        <v>4108</v>
      </c>
    </row>
    <row r="2575" spans="1:13" x14ac:dyDescent="0.35">
      <c r="A2575">
        <v>101703</v>
      </c>
      <c r="B2575">
        <v>1326</v>
      </c>
      <c r="C2575" t="s">
        <v>597</v>
      </c>
      <c r="D2575" t="s">
        <v>3417</v>
      </c>
      <c r="E2575" t="s">
        <v>4109</v>
      </c>
      <c r="G2575">
        <v>218093</v>
      </c>
    </row>
    <row r="2576" spans="1:13" x14ac:dyDescent="0.35">
      <c r="A2576">
        <v>102312</v>
      </c>
      <c r="B2576">
        <v>1852</v>
      </c>
      <c r="C2576" t="s">
        <v>597</v>
      </c>
      <c r="D2576" t="s">
        <v>1336</v>
      </c>
      <c r="E2576" t="s">
        <v>4110</v>
      </c>
      <c r="F2576">
        <v>127</v>
      </c>
      <c r="G2576">
        <v>1364</v>
      </c>
      <c r="H2576" t="s">
        <v>1458</v>
      </c>
      <c r="L2576" t="s">
        <v>965</v>
      </c>
      <c r="M2576" t="s">
        <v>4111</v>
      </c>
    </row>
    <row r="2577" spans="1:11" x14ac:dyDescent="0.35">
      <c r="A2577">
        <v>103788</v>
      </c>
      <c r="B2577">
        <v>901</v>
      </c>
      <c r="C2577" t="s">
        <v>597</v>
      </c>
      <c r="D2577" t="s">
        <v>742</v>
      </c>
      <c r="E2577" t="s">
        <v>4112</v>
      </c>
      <c r="F2577">
        <v>494</v>
      </c>
    </row>
    <row r="2578" spans="1:11" x14ac:dyDescent="0.35">
      <c r="A2578">
        <v>103471</v>
      </c>
      <c r="B2578">
        <v>858</v>
      </c>
      <c r="C2578" t="s">
        <v>597</v>
      </c>
      <c r="D2578" t="s">
        <v>742</v>
      </c>
      <c r="E2578" t="s">
        <v>4113</v>
      </c>
      <c r="F2578">
        <v>242</v>
      </c>
    </row>
    <row r="2579" spans="1:11" x14ac:dyDescent="0.35">
      <c r="A2579">
        <v>104063</v>
      </c>
      <c r="B2579">
        <v>879</v>
      </c>
      <c r="C2579" t="s">
        <v>597</v>
      </c>
      <c r="D2579" t="s">
        <v>742</v>
      </c>
      <c r="E2579" t="s">
        <v>4114</v>
      </c>
      <c r="F2579">
        <v>606</v>
      </c>
      <c r="G2579">
        <v>225450</v>
      </c>
    </row>
    <row r="2580" spans="1:11" x14ac:dyDescent="0.35">
      <c r="A2580">
        <v>102728</v>
      </c>
      <c r="B2580">
        <v>1431</v>
      </c>
      <c r="C2580" t="s">
        <v>597</v>
      </c>
      <c r="D2580" t="s">
        <v>1066</v>
      </c>
      <c r="E2580" t="s">
        <v>4115</v>
      </c>
    </row>
    <row r="2581" spans="1:11" x14ac:dyDescent="0.35">
      <c r="A2581">
        <v>101644</v>
      </c>
      <c r="B2581">
        <v>1346</v>
      </c>
      <c r="C2581" t="s">
        <v>597</v>
      </c>
      <c r="D2581" t="s">
        <v>1336</v>
      </c>
      <c r="E2581" t="s">
        <v>4116</v>
      </c>
      <c r="H2581" t="s">
        <v>1458</v>
      </c>
    </row>
    <row r="2582" spans="1:11" x14ac:dyDescent="0.35">
      <c r="A2582">
        <v>104273</v>
      </c>
      <c r="B2582">
        <v>2633</v>
      </c>
      <c r="C2582" t="s">
        <v>597</v>
      </c>
      <c r="D2582" t="s">
        <v>603</v>
      </c>
      <c r="E2582" t="s">
        <v>4117</v>
      </c>
      <c r="F2582">
        <v>1123</v>
      </c>
      <c r="G2582">
        <v>921</v>
      </c>
    </row>
    <row r="2583" spans="1:11" x14ac:dyDescent="0.35">
      <c r="A2583">
        <v>104087</v>
      </c>
      <c r="B2583">
        <v>626</v>
      </c>
      <c r="C2583" t="s">
        <v>597</v>
      </c>
      <c r="D2583" t="s">
        <v>742</v>
      </c>
      <c r="E2583" t="s">
        <v>4118</v>
      </c>
      <c r="F2583">
        <v>385</v>
      </c>
    </row>
    <row r="2584" spans="1:11" x14ac:dyDescent="0.35">
      <c r="A2584">
        <v>104153</v>
      </c>
      <c r="B2584">
        <v>1331</v>
      </c>
      <c r="C2584" t="s">
        <v>597</v>
      </c>
      <c r="D2584" t="s">
        <v>3417</v>
      </c>
      <c r="E2584" t="s">
        <v>4119</v>
      </c>
      <c r="G2584">
        <v>226571</v>
      </c>
    </row>
    <row r="2585" spans="1:11" x14ac:dyDescent="0.35">
      <c r="A2585">
        <v>0</v>
      </c>
      <c r="B2585">
        <v>2765</v>
      </c>
      <c r="C2585" t="s">
        <v>602</v>
      </c>
      <c r="D2585" t="s">
        <v>4120</v>
      </c>
      <c r="E2585" t="s">
        <v>4121</v>
      </c>
      <c r="H2585" t="s">
        <v>964</v>
      </c>
      <c r="K2585" t="s">
        <v>3404</v>
      </c>
    </row>
    <row r="2586" spans="1:11" x14ac:dyDescent="0.35">
      <c r="A2586">
        <v>103776</v>
      </c>
      <c r="B2586">
        <v>2568</v>
      </c>
      <c r="C2586" t="s">
        <v>597</v>
      </c>
      <c r="D2586" t="s">
        <v>603</v>
      </c>
      <c r="E2586" t="s">
        <v>4122</v>
      </c>
    </row>
    <row r="2587" spans="1:11" x14ac:dyDescent="0.35">
      <c r="A2587">
        <v>103894</v>
      </c>
      <c r="B2587">
        <v>1771</v>
      </c>
      <c r="C2587" t="s">
        <v>597</v>
      </c>
      <c r="D2587" t="s">
        <v>882</v>
      </c>
      <c r="E2587" t="s">
        <v>4123</v>
      </c>
    </row>
    <row r="2588" spans="1:11" x14ac:dyDescent="0.35">
      <c r="A2588">
        <v>104036</v>
      </c>
      <c r="B2588">
        <v>605</v>
      </c>
      <c r="C2588" t="s">
        <v>597</v>
      </c>
      <c r="D2588" t="s">
        <v>742</v>
      </c>
      <c r="E2588" t="s">
        <v>4124</v>
      </c>
      <c r="F2588">
        <v>491</v>
      </c>
      <c r="G2588">
        <v>226127</v>
      </c>
    </row>
    <row r="2589" spans="1:11" x14ac:dyDescent="0.35">
      <c r="A2589">
        <v>103606</v>
      </c>
      <c r="B2589">
        <v>897</v>
      </c>
      <c r="C2589" t="s">
        <v>602</v>
      </c>
      <c r="D2589" t="s">
        <v>742</v>
      </c>
      <c r="E2589" t="s">
        <v>4125</v>
      </c>
      <c r="G2589">
        <v>223022</v>
      </c>
    </row>
    <row r="2590" spans="1:11" x14ac:dyDescent="0.35">
      <c r="A2590">
        <v>102567</v>
      </c>
      <c r="B2590">
        <v>2426</v>
      </c>
      <c r="C2590" t="s">
        <v>597</v>
      </c>
      <c r="D2590" t="s">
        <v>603</v>
      </c>
      <c r="E2590" t="s">
        <v>4126</v>
      </c>
      <c r="G2590">
        <v>514</v>
      </c>
    </row>
    <row r="2591" spans="1:11" x14ac:dyDescent="0.35">
      <c r="A2591">
        <v>103487</v>
      </c>
      <c r="B2591">
        <v>893</v>
      </c>
      <c r="C2591" t="s">
        <v>597</v>
      </c>
      <c r="D2591" t="s">
        <v>742</v>
      </c>
      <c r="E2591" t="s">
        <v>4127</v>
      </c>
      <c r="F2591">
        <v>553</v>
      </c>
    </row>
    <row r="2592" spans="1:11" x14ac:dyDescent="0.35">
      <c r="A2592">
        <v>102603</v>
      </c>
      <c r="B2592">
        <v>2431</v>
      </c>
      <c r="C2592" t="s">
        <v>597</v>
      </c>
      <c r="D2592" t="s">
        <v>603</v>
      </c>
      <c r="E2592" t="s">
        <v>4128</v>
      </c>
      <c r="G2592">
        <v>2032</v>
      </c>
    </row>
    <row r="2593" spans="1:7" x14ac:dyDescent="0.35">
      <c r="A2593">
        <v>104231</v>
      </c>
      <c r="B2593">
        <v>673</v>
      </c>
      <c r="C2593" t="s">
        <v>597</v>
      </c>
      <c r="D2593" t="s">
        <v>742</v>
      </c>
      <c r="E2593" t="s">
        <v>4129</v>
      </c>
      <c r="F2593">
        <v>632</v>
      </c>
      <c r="G2593">
        <v>227275</v>
      </c>
    </row>
    <row r="2594" spans="1:7" x14ac:dyDescent="0.35">
      <c r="A2594">
        <v>102628</v>
      </c>
      <c r="B2594">
        <v>2434</v>
      </c>
      <c r="C2594" t="s">
        <v>597</v>
      </c>
      <c r="D2594" t="s">
        <v>603</v>
      </c>
      <c r="E2594" t="s">
        <v>4130</v>
      </c>
      <c r="G2594">
        <v>787</v>
      </c>
    </row>
    <row r="2595" spans="1:7" x14ac:dyDescent="0.35">
      <c r="A2595">
        <v>102748</v>
      </c>
      <c r="B2595">
        <v>2458</v>
      </c>
      <c r="C2595" t="s">
        <v>597</v>
      </c>
      <c r="D2595" t="s">
        <v>603</v>
      </c>
      <c r="E2595" t="s">
        <v>4131</v>
      </c>
      <c r="G2595">
        <v>1805</v>
      </c>
    </row>
    <row r="2596" spans="1:7" x14ac:dyDescent="0.35">
      <c r="A2596">
        <v>103661</v>
      </c>
      <c r="B2596">
        <v>639</v>
      </c>
      <c r="C2596" t="s">
        <v>597</v>
      </c>
      <c r="D2596" t="s">
        <v>742</v>
      </c>
      <c r="E2596" t="s">
        <v>4132</v>
      </c>
      <c r="F2596">
        <v>153</v>
      </c>
      <c r="G2596">
        <v>223108</v>
      </c>
    </row>
    <row r="2597" spans="1:7" x14ac:dyDescent="0.35">
      <c r="A2597">
        <v>102598</v>
      </c>
      <c r="B2597">
        <v>2430</v>
      </c>
      <c r="C2597" t="s">
        <v>597</v>
      </c>
      <c r="D2597" t="s">
        <v>603</v>
      </c>
      <c r="E2597" t="s">
        <v>4133</v>
      </c>
      <c r="G2597">
        <v>892</v>
      </c>
    </row>
    <row r="2598" spans="1:7" x14ac:dyDescent="0.35">
      <c r="A2598">
        <v>104052</v>
      </c>
      <c r="B2598">
        <v>678</v>
      </c>
      <c r="C2598" t="s">
        <v>597</v>
      </c>
      <c r="D2598" t="s">
        <v>742</v>
      </c>
      <c r="E2598" t="s">
        <v>4134</v>
      </c>
      <c r="F2598">
        <v>382</v>
      </c>
    </row>
    <row r="2599" spans="1:7" x14ac:dyDescent="0.35">
      <c r="A2599">
        <v>103635</v>
      </c>
      <c r="B2599">
        <v>647</v>
      </c>
      <c r="C2599" t="s">
        <v>597</v>
      </c>
      <c r="D2599" t="s">
        <v>742</v>
      </c>
      <c r="E2599" t="s">
        <v>4135</v>
      </c>
      <c r="F2599">
        <v>118</v>
      </c>
    </row>
    <row r="2600" spans="1:7" x14ac:dyDescent="0.35">
      <c r="A2600">
        <v>102033</v>
      </c>
      <c r="B2600">
        <v>759</v>
      </c>
      <c r="C2600" t="s">
        <v>597</v>
      </c>
      <c r="D2600" t="s">
        <v>742</v>
      </c>
      <c r="E2600" t="s">
        <v>4136</v>
      </c>
      <c r="F2600">
        <v>239</v>
      </c>
    </row>
    <row r="2601" spans="1:7" x14ac:dyDescent="0.35">
      <c r="A2601">
        <v>103458</v>
      </c>
      <c r="B2601">
        <v>1594</v>
      </c>
      <c r="C2601" t="s">
        <v>597</v>
      </c>
      <c r="D2601" t="s">
        <v>1066</v>
      </c>
      <c r="E2601" t="s">
        <v>4137</v>
      </c>
    </row>
    <row r="2602" spans="1:7" x14ac:dyDescent="0.35">
      <c r="A2602">
        <v>103984</v>
      </c>
      <c r="B2602">
        <v>1330</v>
      </c>
      <c r="C2602" t="s">
        <v>597</v>
      </c>
      <c r="D2602" t="s">
        <v>3417</v>
      </c>
      <c r="E2602" t="s">
        <v>4138</v>
      </c>
      <c r="G2602">
        <v>225508</v>
      </c>
    </row>
    <row r="2603" spans="1:7" x14ac:dyDescent="0.35">
      <c r="A2603">
        <v>102593</v>
      </c>
      <c r="B2603">
        <v>2429</v>
      </c>
      <c r="C2603" t="s">
        <v>602</v>
      </c>
      <c r="D2603" t="s">
        <v>603</v>
      </c>
      <c r="E2603" t="s">
        <v>4139</v>
      </c>
      <c r="G2603">
        <v>1267</v>
      </c>
    </row>
    <row r="2604" spans="1:7" x14ac:dyDescent="0.35">
      <c r="A2604">
        <v>104239</v>
      </c>
      <c r="B2604">
        <v>2626</v>
      </c>
      <c r="C2604" t="s">
        <v>602</v>
      </c>
      <c r="D2604" t="s">
        <v>603</v>
      </c>
      <c r="E2604" t="s">
        <v>4140</v>
      </c>
      <c r="G2604">
        <v>221484</v>
      </c>
    </row>
    <row r="2605" spans="1:7" x14ac:dyDescent="0.35">
      <c r="A2605">
        <v>101187</v>
      </c>
      <c r="B2605">
        <v>2248</v>
      </c>
      <c r="C2605" t="s">
        <v>602</v>
      </c>
      <c r="D2605" t="s">
        <v>603</v>
      </c>
      <c r="E2605" t="s">
        <v>469</v>
      </c>
      <c r="G2605">
        <v>1961</v>
      </c>
    </row>
    <row r="2606" spans="1:7" x14ac:dyDescent="0.35">
      <c r="A2606">
        <v>101139</v>
      </c>
      <c r="B2606">
        <v>1332</v>
      </c>
      <c r="C2606" t="s">
        <v>597</v>
      </c>
      <c r="D2606" t="s">
        <v>3845</v>
      </c>
      <c r="E2606" t="s">
        <v>4141</v>
      </c>
      <c r="G2606">
        <v>219228</v>
      </c>
    </row>
    <row r="2607" spans="1:7" x14ac:dyDescent="0.35">
      <c r="A2607">
        <v>103354</v>
      </c>
      <c r="B2607">
        <v>1519</v>
      </c>
      <c r="C2607" t="s">
        <v>597</v>
      </c>
      <c r="D2607" t="s">
        <v>1066</v>
      </c>
      <c r="E2607" t="s">
        <v>4142</v>
      </c>
    </row>
    <row r="2608" spans="1:7" x14ac:dyDescent="0.35">
      <c r="A2608">
        <v>101531</v>
      </c>
      <c r="B2608">
        <v>1125</v>
      </c>
      <c r="C2608" t="s">
        <v>597</v>
      </c>
      <c r="D2608" t="s">
        <v>962</v>
      </c>
      <c r="E2608" t="s">
        <v>4143</v>
      </c>
    </row>
    <row r="2609" spans="1:13" x14ac:dyDescent="0.35">
      <c r="A2609">
        <v>103730</v>
      </c>
      <c r="B2609">
        <v>664</v>
      </c>
      <c r="C2609" t="s">
        <v>597</v>
      </c>
      <c r="D2609" t="s">
        <v>742</v>
      </c>
      <c r="E2609" t="s">
        <v>4144</v>
      </c>
      <c r="F2609">
        <v>308</v>
      </c>
      <c r="G2609">
        <v>222792</v>
      </c>
    </row>
    <row r="2610" spans="1:13" x14ac:dyDescent="0.35">
      <c r="A2610">
        <v>103612</v>
      </c>
      <c r="B2610">
        <v>725</v>
      </c>
      <c r="C2610" t="s">
        <v>597</v>
      </c>
      <c r="D2610" t="s">
        <v>742</v>
      </c>
      <c r="E2610" t="s">
        <v>4145</v>
      </c>
      <c r="F2610">
        <v>296</v>
      </c>
    </row>
    <row r="2611" spans="1:13" x14ac:dyDescent="0.35">
      <c r="A2611">
        <v>101026</v>
      </c>
      <c r="B2611">
        <v>2232</v>
      </c>
      <c r="C2611" t="s">
        <v>597</v>
      </c>
      <c r="D2611" t="s">
        <v>603</v>
      </c>
      <c r="E2611" t="s">
        <v>4146</v>
      </c>
      <c r="G2611">
        <v>220229</v>
      </c>
    </row>
    <row r="2612" spans="1:13" x14ac:dyDescent="0.35">
      <c r="A2612">
        <v>104022</v>
      </c>
      <c r="B2612">
        <v>2602</v>
      </c>
      <c r="C2612" t="s">
        <v>597</v>
      </c>
      <c r="D2612" t="s">
        <v>603</v>
      </c>
      <c r="E2612" t="s">
        <v>4147</v>
      </c>
      <c r="F2612">
        <v>615311</v>
      </c>
      <c r="G2612">
        <v>226080</v>
      </c>
    </row>
    <row r="2613" spans="1:13" x14ac:dyDescent="0.35">
      <c r="A2613">
        <v>101756</v>
      </c>
      <c r="B2613">
        <v>2284</v>
      </c>
      <c r="C2613" t="s">
        <v>597</v>
      </c>
      <c r="D2613" t="s">
        <v>603</v>
      </c>
      <c r="E2613" t="s">
        <v>4148</v>
      </c>
      <c r="G2613">
        <v>218421</v>
      </c>
    </row>
    <row r="2614" spans="1:13" x14ac:dyDescent="0.35">
      <c r="A2614">
        <v>104293</v>
      </c>
      <c r="B2614">
        <v>592</v>
      </c>
      <c r="C2614" t="s">
        <v>597</v>
      </c>
      <c r="D2614" t="s">
        <v>742</v>
      </c>
      <c r="E2614" t="s">
        <v>4149</v>
      </c>
      <c r="G2614">
        <v>227724</v>
      </c>
    </row>
    <row r="2615" spans="1:13" x14ac:dyDescent="0.35">
      <c r="A2615">
        <v>101304</v>
      </c>
      <c r="B2615">
        <v>794</v>
      </c>
      <c r="C2615" t="s">
        <v>597</v>
      </c>
      <c r="D2615" t="s">
        <v>742</v>
      </c>
      <c r="E2615" t="s">
        <v>4150</v>
      </c>
      <c r="F2615">
        <v>356</v>
      </c>
      <c r="G2615">
        <v>1489</v>
      </c>
    </row>
    <row r="2616" spans="1:13" x14ac:dyDescent="0.35">
      <c r="A2616">
        <v>0</v>
      </c>
      <c r="B2616">
        <v>3159</v>
      </c>
      <c r="C2616" t="s">
        <v>602</v>
      </c>
      <c r="D2616" t="s">
        <v>1243</v>
      </c>
      <c r="E2616" t="s">
        <v>4151</v>
      </c>
      <c r="G2616">
        <v>0</v>
      </c>
      <c r="H2616" t="s">
        <v>964</v>
      </c>
      <c r="J2616">
        <v>11</v>
      </c>
      <c r="K2616" t="s">
        <v>1312</v>
      </c>
      <c r="M2616" t="s">
        <v>4152</v>
      </c>
    </row>
    <row r="2617" spans="1:13" x14ac:dyDescent="0.35">
      <c r="A2617">
        <v>102708</v>
      </c>
      <c r="B2617">
        <v>2449</v>
      </c>
      <c r="C2617" t="s">
        <v>597</v>
      </c>
      <c r="D2617" t="s">
        <v>603</v>
      </c>
      <c r="E2617" t="s">
        <v>4153</v>
      </c>
      <c r="G2617">
        <v>217924</v>
      </c>
    </row>
    <row r="2618" spans="1:13" x14ac:dyDescent="0.35">
      <c r="A2618">
        <v>101704</v>
      </c>
      <c r="B2618">
        <v>2279</v>
      </c>
      <c r="C2618" t="s">
        <v>602</v>
      </c>
      <c r="D2618" t="s">
        <v>603</v>
      </c>
      <c r="E2618" t="s">
        <v>4154</v>
      </c>
      <c r="G2618">
        <v>2271</v>
      </c>
    </row>
    <row r="2619" spans="1:13" x14ac:dyDescent="0.35">
      <c r="A2619">
        <v>101912</v>
      </c>
      <c r="B2619">
        <v>731</v>
      </c>
      <c r="C2619" t="s">
        <v>597</v>
      </c>
      <c r="D2619" t="s">
        <v>742</v>
      </c>
      <c r="E2619" t="s">
        <v>4155</v>
      </c>
      <c r="F2619">
        <v>227</v>
      </c>
      <c r="G2619">
        <v>219033</v>
      </c>
    </row>
    <row r="2620" spans="1:13" x14ac:dyDescent="0.35">
      <c r="A2620">
        <v>102193</v>
      </c>
      <c r="B2620">
        <v>2363</v>
      </c>
      <c r="C2620" t="s">
        <v>597</v>
      </c>
      <c r="D2620" t="s">
        <v>603</v>
      </c>
      <c r="E2620" t="s">
        <v>4156</v>
      </c>
      <c r="G2620">
        <v>220412</v>
      </c>
    </row>
    <row r="2621" spans="1:13" x14ac:dyDescent="0.35">
      <c r="A2621">
        <v>103542</v>
      </c>
      <c r="B2621">
        <v>693</v>
      </c>
      <c r="C2621" t="s">
        <v>597</v>
      </c>
      <c r="D2621" t="s">
        <v>742</v>
      </c>
      <c r="E2621" t="s">
        <v>4157</v>
      </c>
      <c r="F2621">
        <v>447</v>
      </c>
      <c r="G2621">
        <v>1510</v>
      </c>
    </row>
    <row r="2622" spans="1:13" x14ac:dyDescent="0.35">
      <c r="A2622">
        <v>103679</v>
      </c>
      <c r="B2622">
        <v>806</v>
      </c>
      <c r="C2622" t="s">
        <v>597</v>
      </c>
      <c r="D2622" t="s">
        <v>742</v>
      </c>
      <c r="E2622" t="s">
        <v>4158</v>
      </c>
      <c r="F2622">
        <v>576</v>
      </c>
      <c r="G2622">
        <v>223094</v>
      </c>
    </row>
    <row r="2623" spans="1:13" x14ac:dyDescent="0.35">
      <c r="A2623">
        <v>102569</v>
      </c>
      <c r="B2623">
        <v>2427</v>
      </c>
      <c r="C2623" t="s">
        <v>597</v>
      </c>
      <c r="D2623" t="s">
        <v>603</v>
      </c>
      <c r="E2623" t="s">
        <v>4159</v>
      </c>
      <c r="G2623">
        <v>223203</v>
      </c>
    </row>
    <row r="2624" spans="1:13" x14ac:dyDescent="0.35">
      <c r="A2624">
        <v>101357</v>
      </c>
      <c r="B2624">
        <v>987</v>
      </c>
      <c r="C2624" t="s">
        <v>597</v>
      </c>
      <c r="D2624" t="s">
        <v>962</v>
      </c>
      <c r="E2624" t="s">
        <v>4160</v>
      </c>
    </row>
    <row r="2625" spans="1:7" x14ac:dyDescent="0.35">
      <c r="A2625">
        <v>103715</v>
      </c>
      <c r="B2625">
        <v>684</v>
      </c>
      <c r="C2625" t="s">
        <v>597</v>
      </c>
      <c r="D2625" t="s">
        <v>742</v>
      </c>
      <c r="E2625" t="s">
        <v>4161</v>
      </c>
      <c r="F2625">
        <v>235</v>
      </c>
      <c r="G2625">
        <v>219901</v>
      </c>
    </row>
    <row r="2626" spans="1:7" x14ac:dyDescent="0.35">
      <c r="A2626">
        <v>101649</v>
      </c>
      <c r="B2626">
        <v>625</v>
      </c>
      <c r="C2626" t="s">
        <v>602</v>
      </c>
      <c r="D2626" t="s">
        <v>603</v>
      </c>
      <c r="E2626" t="s">
        <v>4162</v>
      </c>
      <c r="F2626">
        <v>439</v>
      </c>
      <c r="G2626">
        <v>1048</v>
      </c>
    </row>
    <row r="2627" spans="1:7" x14ac:dyDescent="0.35">
      <c r="A2627">
        <v>103656</v>
      </c>
      <c r="B2627">
        <v>701</v>
      </c>
      <c r="C2627" t="s">
        <v>597</v>
      </c>
      <c r="D2627" t="s">
        <v>742</v>
      </c>
      <c r="E2627" t="s">
        <v>4163</v>
      </c>
      <c r="F2627">
        <v>288</v>
      </c>
      <c r="G2627">
        <v>223080</v>
      </c>
    </row>
    <row r="2628" spans="1:7" x14ac:dyDescent="0.35">
      <c r="A2628">
        <v>103989</v>
      </c>
      <c r="B2628">
        <v>2594</v>
      </c>
      <c r="C2628" t="s">
        <v>602</v>
      </c>
      <c r="D2628" t="s">
        <v>603</v>
      </c>
      <c r="E2628" t="s">
        <v>4164</v>
      </c>
      <c r="G2628">
        <v>1652</v>
      </c>
    </row>
    <row r="2629" spans="1:7" x14ac:dyDescent="0.35">
      <c r="A2629">
        <v>104051</v>
      </c>
      <c r="B2629">
        <v>942</v>
      </c>
      <c r="C2629" t="s">
        <v>597</v>
      </c>
      <c r="D2629" t="s">
        <v>742</v>
      </c>
      <c r="E2629" t="s">
        <v>4165</v>
      </c>
      <c r="F2629">
        <v>172</v>
      </c>
      <c r="G2629">
        <v>226124</v>
      </c>
    </row>
    <row r="2630" spans="1:7" x14ac:dyDescent="0.35">
      <c r="A2630">
        <v>101008</v>
      </c>
      <c r="B2630">
        <v>699</v>
      </c>
      <c r="C2630" t="s">
        <v>597</v>
      </c>
      <c r="D2630" t="s">
        <v>742</v>
      </c>
      <c r="E2630" t="s">
        <v>4166</v>
      </c>
      <c r="F2630">
        <v>325</v>
      </c>
    </row>
    <row r="2631" spans="1:7" x14ac:dyDescent="0.35">
      <c r="A2631">
        <v>103608</v>
      </c>
      <c r="B2631">
        <v>635</v>
      </c>
      <c r="C2631" t="s">
        <v>597</v>
      </c>
      <c r="D2631" t="s">
        <v>742</v>
      </c>
      <c r="E2631" t="s">
        <v>4167</v>
      </c>
      <c r="F2631">
        <v>297</v>
      </c>
    </row>
    <row r="2632" spans="1:7" x14ac:dyDescent="0.35">
      <c r="A2632">
        <v>104110</v>
      </c>
      <c r="B2632">
        <v>1765</v>
      </c>
      <c r="C2632" t="s">
        <v>597</v>
      </c>
      <c r="D2632" t="s">
        <v>2003</v>
      </c>
      <c r="E2632" t="s">
        <v>4168</v>
      </c>
    </row>
    <row r="2633" spans="1:7" x14ac:dyDescent="0.35">
      <c r="A2633">
        <v>103104</v>
      </c>
      <c r="B2633">
        <v>2491</v>
      </c>
      <c r="C2633" t="s">
        <v>602</v>
      </c>
      <c r="D2633" t="s">
        <v>603</v>
      </c>
      <c r="E2633" t="s">
        <v>371</v>
      </c>
      <c r="G2633">
        <v>1256</v>
      </c>
    </row>
    <row r="2634" spans="1:7" x14ac:dyDescent="0.35">
      <c r="A2634">
        <v>104023</v>
      </c>
      <c r="B2634">
        <v>2603</v>
      </c>
      <c r="C2634" t="s">
        <v>602</v>
      </c>
      <c r="D2634" t="s">
        <v>603</v>
      </c>
      <c r="E2634" t="s">
        <v>4169</v>
      </c>
      <c r="G2634">
        <v>226099</v>
      </c>
    </row>
    <row r="2635" spans="1:7" x14ac:dyDescent="0.35">
      <c r="A2635">
        <v>101688</v>
      </c>
      <c r="B2635">
        <v>1313</v>
      </c>
      <c r="C2635" t="s">
        <v>597</v>
      </c>
      <c r="D2635" t="s">
        <v>3417</v>
      </c>
      <c r="E2635" t="s">
        <v>4170</v>
      </c>
      <c r="G2635">
        <v>217985</v>
      </c>
    </row>
    <row r="2636" spans="1:7" x14ac:dyDescent="0.35">
      <c r="A2636">
        <v>103514</v>
      </c>
      <c r="B2636">
        <v>2534</v>
      </c>
      <c r="C2636" t="s">
        <v>597</v>
      </c>
      <c r="D2636" t="s">
        <v>603</v>
      </c>
      <c r="E2636" t="s">
        <v>4171</v>
      </c>
      <c r="G2636">
        <v>220848</v>
      </c>
    </row>
    <row r="2637" spans="1:7" x14ac:dyDescent="0.35">
      <c r="A2637">
        <v>104123</v>
      </c>
      <c r="B2637">
        <v>803</v>
      </c>
      <c r="C2637" t="s">
        <v>597</v>
      </c>
      <c r="D2637" t="s">
        <v>742</v>
      </c>
      <c r="E2637" t="s">
        <v>4172</v>
      </c>
      <c r="F2637">
        <v>517</v>
      </c>
    </row>
    <row r="2638" spans="1:7" x14ac:dyDescent="0.35">
      <c r="A2638">
        <v>103568</v>
      </c>
      <c r="B2638">
        <v>816</v>
      </c>
      <c r="C2638" t="s">
        <v>597</v>
      </c>
      <c r="D2638" t="s">
        <v>742</v>
      </c>
      <c r="E2638" t="s">
        <v>4173</v>
      </c>
      <c r="F2638">
        <v>452</v>
      </c>
      <c r="G2638">
        <v>222823</v>
      </c>
    </row>
    <row r="2639" spans="1:7" x14ac:dyDescent="0.35">
      <c r="A2639">
        <v>0</v>
      </c>
      <c r="B2639">
        <v>3170</v>
      </c>
      <c r="C2639" t="s">
        <v>602</v>
      </c>
      <c r="D2639" t="s">
        <v>3402</v>
      </c>
      <c r="E2639" t="s">
        <v>4174</v>
      </c>
    </row>
    <row r="2640" spans="1:7" x14ac:dyDescent="0.35">
      <c r="A2640">
        <v>102501</v>
      </c>
      <c r="B2640">
        <v>2418</v>
      </c>
      <c r="C2640" t="s">
        <v>597</v>
      </c>
      <c r="D2640" t="s">
        <v>603</v>
      </c>
      <c r="E2640" t="s">
        <v>4175</v>
      </c>
      <c r="G2640">
        <v>219951</v>
      </c>
    </row>
    <row r="2641" spans="1:7" x14ac:dyDescent="0.35">
      <c r="A2641">
        <v>104079</v>
      </c>
      <c r="B2641">
        <v>2608</v>
      </c>
      <c r="C2641" t="s">
        <v>597</v>
      </c>
      <c r="D2641" t="s">
        <v>603</v>
      </c>
      <c r="E2641" t="s">
        <v>4176</v>
      </c>
      <c r="G2641">
        <v>222098</v>
      </c>
    </row>
    <row r="2642" spans="1:7" x14ac:dyDescent="0.35">
      <c r="A2642">
        <v>102464</v>
      </c>
      <c r="B2642">
        <v>2410</v>
      </c>
      <c r="C2642" t="s">
        <v>602</v>
      </c>
      <c r="D2642" t="s">
        <v>603</v>
      </c>
      <c r="E2642" t="s">
        <v>425</v>
      </c>
      <c r="G2642">
        <v>21795</v>
      </c>
    </row>
    <row r="2643" spans="1:7" x14ac:dyDescent="0.35">
      <c r="A2643">
        <v>104251</v>
      </c>
      <c r="B2643">
        <v>763</v>
      </c>
      <c r="C2643" t="s">
        <v>597</v>
      </c>
      <c r="D2643" t="s">
        <v>742</v>
      </c>
      <c r="E2643" t="s">
        <v>4177</v>
      </c>
      <c r="F2643">
        <v>637</v>
      </c>
      <c r="G2643">
        <v>227466</v>
      </c>
    </row>
    <row r="2644" spans="1:7" x14ac:dyDescent="0.35">
      <c r="A2644">
        <v>103908</v>
      </c>
      <c r="B2644">
        <v>1775</v>
      </c>
      <c r="C2644" t="s">
        <v>597</v>
      </c>
      <c r="D2644" t="s">
        <v>882</v>
      </c>
      <c r="E2644" t="s">
        <v>4178</v>
      </c>
      <c r="G2644">
        <v>225359</v>
      </c>
    </row>
    <row r="2645" spans="1:7" x14ac:dyDescent="0.35">
      <c r="A2645">
        <v>101809</v>
      </c>
      <c r="B2645">
        <v>2291</v>
      </c>
      <c r="C2645" t="s">
        <v>597</v>
      </c>
      <c r="D2645" t="s">
        <v>603</v>
      </c>
      <c r="E2645" t="s">
        <v>4179</v>
      </c>
      <c r="G2645">
        <v>227326</v>
      </c>
    </row>
    <row r="2646" spans="1:7" x14ac:dyDescent="0.35">
      <c r="A2646">
        <v>104137</v>
      </c>
      <c r="B2646">
        <v>642</v>
      </c>
      <c r="C2646" t="s">
        <v>597</v>
      </c>
      <c r="D2646" t="s">
        <v>742</v>
      </c>
      <c r="E2646" t="s">
        <v>4180</v>
      </c>
      <c r="F2646">
        <v>485</v>
      </c>
      <c r="G2646">
        <v>226125</v>
      </c>
    </row>
    <row r="2647" spans="1:7" x14ac:dyDescent="0.35">
      <c r="A2647">
        <v>103726</v>
      </c>
      <c r="B2647">
        <v>801</v>
      </c>
      <c r="C2647" t="s">
        <v>597</v>
      </c>
      <c r="D2647" t="s">
        <v>742</v>
      </c>
      <c r="E2647" t="s">
        <v>4181</v>
      </c>
      <c r="F2647">
        <v>592</v>
      </c>
      <c r="G2647">
        <v>223244</v>
      </c>
    </row>
    <row r="2648" spans="1:7" x14ac:dyDescent="0.35">
      <c r="A2648">
        <v>104072</v>
      </c>
      <c r="B2648">
        <v>707</v>
      </c>
      <c r="C2648" t="s">
        <v>597</v>
      </c>
      <c r="D2648" t="s">
        <v>742</v>
      </c>
      <c r="E2648" t="s">
        <v>4182</v>
      </c>
      <c r="F2648">
        <v>379</v>
      </c>
    </row>
    <row r="2649" spans="1:7" x14ac:dyDescent="0.35">
      <c r="A2649">
        <v>103960</v>
      </c>
      <c r="B2649">
        <v>1823</v>
      </c>
      <c r="C2649" t="s">
        <v>597</v>
      </c>
      <c r="D2649" t="s">
        <v>882</v>
      </c>
      <c r="E2649" t="s">
        <v>4183</v>
      </c>
      <c r="G2649">
        <v>225468</v>
      </c>
    </row>
    <row r="2650" spans="1:7" x14ac:dyDescent="0.35">
      <c r="A2650">
        <v>103733</v>
      </c>
      <c r="B2650">
        <v>872</v>
      </c>
      <c r="C2650" t="s">
        <v>597</v>
      </c>
      <c r="D2650" t="s">
        <v>742</v>
      </c>
      <c r="E2650" t="s">
        <v>4184</v>
      </c>
      <c r="F2650">
        <v>577</v>
      </c>
    </row>
    <row r="2651" spans="1:7" x14ac:dyDescent="0.35">
      <c r="A2651">
        <v>104007</v>
      </c>
      <c r="B2651">
        <v>628</v>
      </c>
      <c r="C2651" t="s">
        <v>597</v>
      </c>
      <c r="D2651" t="s">
        <v>742</v>
      </c>
      <c r="E2651" t="s">
        <v>4185</v>
      </c>
      <c r="F2651">
        <v>207</v>
      </c>
    </row>
    <row r="2652" spans="1:7" x14ac:dyDescent="0.35">
      <c r="A2652">
        <v>101719</v>
      </c>
      <c r="B2652">
        <v>697</v>
      </c>
      <c r="C2652" t="s">
        <v>597</v>
      </c>
      <c r="D2652" t="s">
        <v>742</v>
      </c>
      <c r="E2652" t="s">
        <v>4186</v>
      </c>
      <c r="F2652">
        <v>214</v>
      </c>
      <c r="G2652">
        <v>21038</v>
      </c>
    </row>
    <row r="2653" spans="1:7" x14ac:dyDescent="0.35">
      <c r="A2653">
        <v>102642</v>
      </c>
      <c r="B2653">
        <v>2436</v>
      </c>
      <c r="C2653" t="s">
        <v>602</v>
      </c>
      <c r="D2653" t="s">
        <v>603</v>
      </c>
      <c r="E2653" t="s">
        <v>4187</v>
      </c>
      <c r="G2653">
        <v>221139</v>
      </c>
    </row>
    <row r="2654" spans="1:7" x14ac:dyDescent="0.35">
      <c r="A2654">
        <v>104067</v>
      </c>
      <c r="B2654">
        <v>676</v>
      </c>
      <c r="C2654" t="s">
        <v>597</v>
      </c>
      <c r="D2654" t="s">
        <v>742</v>
      </c>
      <c r="E2654" t="s">
        <v>4188</v>
      </c>
      <c r="F2654">
        <v>436</v>
      </c>
      <c r="G2654">
        <v>226172</v>
      </c>
    </row>
    <row r="2655" spans="1:7" x14ac:dyDescent="0.35">
      <c r="A2655">
        <v>102758</v>
      </c>
      <c r="B2655">
        <v>2461</v>
      </c>
      <c r="C2655" t="s">
        <v>597</v>
      </c>
      <c r="D2655" t="s">
        <v>603</v>
      </c>
      <c r="E2655" t="s">
        <v>4189</v>
      </c>
      <c r="G2655">
        <v>221556</v>
      </c>
    </row>
    <row r="2656" spans="1:7" x14ac:dyDescent="0.35">
      <c r="A2656">
        <v>101805</v>
      </c>
      <c r="B2656">
        <v>873</v>
      </c>
      <c r="C2656" t="s">
        <v>597</v>
      </c>
      <c r="D2656" t="s">
        <v>742</v>
      </c>
      <c r="E2656" t="s">
        <v>4190</v>
      </c>
      <c r="F2656">
        <v>377</v>
      </c>
      <c r="G2656">
        <v>1851</v>
      </c>
    </row>
    <row r="2657" spans="1:8" x14ac:dyDescent="0.35">
      <c r="A2657">
        <v>101138</v>
      </c>
      <c r="B2657">
        <v>829</v>
      </c>
      <c r="C2657" t="s">
        <v>597</v>
      </c>
      <c r="D2657" t="s">
        <v>742</v>
      </c>
      <c r="E2657" t="s">
        <v>4191</v>
      </c>
      <c r="F2657">
        <v>115</v>
      </c>
    </row>
    <row r="2658" spans="1:8" x14ac:dyDescent="0.35">
      <c r="A2658">
        <v>104086</v>
      </c>
      <c r="B2658">
        <v>923</v>
      </c>
      <c r="C2658" t="s">
        <v>597</v>
      </c>
      <c r="D2658" t="s">
        <v>742</v>
      </c>
      <c r="E2658" t="s">
        <v>4192</v>
      </c>
      <c r="F2658">
        <v>475</v>
      </c>
      <c r="G2658">
        <v>226201</v>
      </c>
    </row>
    <row r="2659" spans="1:8" x14ac:dyDescent="0.35">
      <c r="A2659">
        <v>101610</v>
      </c>
      <c r="B2659">
        <v>2269</v>
      </c>
      <c r="C2659" t="s">
        <v>597</v>
      </c>
      <c r="D2659" t="s">
        <v>603</v>
      </c>
      <c r="E2659" t="s">
        <v>4193</v>
      </c>
    </row>
    <row r="2660" spans="1:8" x14ac:dyDescent="0.35">
      <c r="A2660">
        <v>102177</v>
      </c>
      <c r="B2660">
        <v>2359</v>
      </c>
      <c r="C2660" t="s">
        <v>597</v>
      </c>
      <c r="D2660" t="s">
        <v>603</v>
      </c>
      <c r="E2660" t="s">
        <v>4194</v>
      </c>
      <c r="G2660">
        <v>656</v>
      </c>
    </row>
    <row r="2661" spans="1:8" x14ac:dyDescent="0.35">
      <c r="A2661">
        <v>104234</v>
      </c>
      <c r="B2661">
        <v>2624</v>
      </c>
      <c r="C2661" t="s">
        <v>602</v>
      </c>
      <c r="D2661" t="s">
        <v>603</v>
      </c>
      <c r="E2661" t="s">
        <v>409</v>
      </c>
      <c r="G2661">
        <v>227337</v>
      </c>
    </row>
    <row r="2662" spans="1:8" x14ac:dyDescent="0.35">
      <c r="A2662">
        <v>102796</v>
      </c>
      <c r="B2662">
        <v>2469</v>
      </c>
      <c r="C2662" t="s">
        <v>602</v>
      </c>
      <c r="D2662" t="s">
        <v>603</v>
      </c>
      <c r="E2662" t="s">
        <v>4195</v>
      </c>
      <c r="G2662">
        <v>23051</v>
      </c>
    </row>
    <row r="2663" spans="1:8" x14ac:dyDescent="0.35">
      <c r="A2663">
        <v>103581</v>
      </c>
      <c r="B2663">
        <v>644</v>
      </c>
      <c r="C2663" t="s">
        <v>597</v>
      </c>
      <c r="D2663" t="s">
        <v>742</v>
      </c>
      <c r="E2663" t="s">
        <v>4196</v>
      </c>
      <c r="F2663">
        <v>566</v>
      </c>
      <c r="G2663">
        <v>222943</v>
      </c>
    </row>
    <row r="2664" spans="1:8" x14ac:dyDescent="0.35">
      <c r="A2664">
        <v>107777</v>
      </c>
      <c r="B2664">
        <v>3497</v>
      </c>
      <c r="C2664" t="s">
        <v>602</v>
      </c>
      <c r="D2664" t="s">
        <v>3402</v>
      </c>
      <c r="E2664" t="s">
        <v>173</v>
      </c>
      <c r="G2664">
        <v>0</v>
      </c>
    </row>
    <row r="2665" spans="1:8" x14ac:dyDescent="0.35">
      <c r="A2665">
        <v>102325</v>
      </c>
      <c r="B2665">
        <v>2389</v>
      </c>
      <c r="C2665" t="s">
        <v>602</v>
      </c>
      <c r="D2665" t="s">
        <v>603</v>
      </c>
      <c r="E2665" t="s">
        <v>4197</v>
      </c>
      <c r="G2665">
        <v>22375</v>
      </c>
    </row>
    <row r="2666" spans="1:8" x14ac:dyDescent="0.35">
      <c r="A2666">
        <v>103935</v>
      </c>
      <c r="B2666">
        <v>1799</v>
      </c>
      <c r="C2666" t="s">
        <v>602</v>
      </c>
      <c r="D2666" t="s">
        <v>882</v>
      </c>
      <c r="E2666" t="s">
        <v>4198</v>
      </c>
      <c r="G2666">
        <v>225930</v>
      </c>
    </row>
    <row r="2667" spans="1:8" x14ac:dyDescent="0.35">
      <c r="A2667">
        <v>104189</v>
      </c>
      <c r="B2667">
        <v>1718</v>
      </c>
      <c r="C2667" t="s">
        <v>597</v>
      </c>
      <c r="D2667" t="s">
        <v>3443</v>
      </c>
      <c r="E2667" t="s">
        <v>4199</v>
      </c>
      <c r="G2667">
        <v>219870</v>
      </c>
    </row>
    <row r="2668" spans="1:8" x14ac:dyDescent="0.35">
      <c r="A2668">
        <v>103634</v>
      </c>
      <c r="B2668">
        <v>614</v>
      </c>
      <c r="C2668" t="s">
        <v>597</v>
      </c>
      <c r="D2668" t="s">
        <v>742</v>
      </c>
      <c r="E2668" t="s">
        <v>4200</v>
      </c>
      <c r="F2668">
        <v>318</v>
      </c>
      <c r="G2668">
        <v>223062</v>
      </c>
    </row>
    <row r="2669" spans="1:8" x14ac:dyDescent="0.35">
      <c r="A2669">
        <v>101686</v>
      </c>
      <c r="B2669">
        <v>1311</v>
      </c>
      <c r="C2669" t="s">
        <v>597</v>
      </c>
      <c r="D2669" t="s">
        <v>3417</v>
      </c>
      <c r="E2669" t="s">
        <v>4201</v>
      </c>
      <c r="G2669">
        <v>217988</v>
      </c>
    </row>
    <row r="2670" spans="1:8" x14ac:dyDescent="0.35">
      <c r="A2670">
        <v>666666</v>
      </c>
      <c r="B2670">
        <v>3464</v>
      </c>
      <c r="C2670" t="s">
        <v>602</v>
      </c>
      <c r="D2670" t="s">
        <v>603</v>
      </c>
      <c r="E2670" t="s">
        <v>53</v>
      </c>
      <c r="G2670">
        <v>0</v>
      </c>
      <c r="H2670" t="s">
        <v>964</v>
      </c>
    </row>
    <row r="2671" spans="1:8" x14ac:dyDescent="0.35">
      <c r="A2671">
        <v>104256</v>
      </c>
      <c r="B2671">
        <v>2630</v>
      </c>
      <c r="C2671" t="s">
        <v>602</v>
      </c>
      <c r="D2671" t="s">
        <v>603</v>
      </c>
      <c r="E2671" t="s">
        <v>4202</v>
      </c>
      <c r="G2671">
        <v>227482</v>
      </c>
    </row>
    <row r="2672" spans="1:8" x14ac:dyDescent="0.35">
      <c r="A2672">
        <v>103953</v>
      </c>
      <c r="B2672">
        <v>1816</v>
      </c>
      <c r="C2672" t="s">
        <v>597</v>
      </c>
      <c r="D2672" t="s">
        <v>882</v>
      </c>
      <c r="E2672" t="s">
        <v>4203</v>
      </c>
      <c r="G2672">
        <v>225988</v>
      </c>
    </row>
    <row r="2673" spans="1:7" x14ac:dyDescent="0.35">
      <c r="A2673">
        <v>104226</v>
      </c>
      <c r="B2673">
        <v>847</v>
      </c>
      <c r="C2673" t="s">
        <v>597</v>
      </c>
      <c r="D2673" t="s">
        <v>742</v>
      </c>
      <c r="E2673" t="s">
        <v>4204</v>
      </c>
      <c r="F2673">
        <v>630</v>
      </c>
      <c r="G2673">
        <v>227262</v>
      </c>
    </row>
    <row r="2674" spans="1:7" x14ac:dyDescent="0.35">
      <c r="A2674">
        <v>102470</v>
      </c>
      <c r="B2674">
        <v>840</v>
      </c>
      <c r="C2674" t="s">
        <v>597</v>
      </c>
      <c r="D2674" t="s">
        <v>742</v>
      </c>
      <c r="E2674" t="s">
        <v>4205</v>
      </c>
      <c r="F2674">
        <v>545</v>
      </c>
      <c r="G2674">
        <v>22136</v>
      </c>
    </row>
    <row r="2675" spans="1:7" x14ac:dyDescent="0.35">
      <c r="A2675">
        <v>101694</v>
      </c>
      <c r="B2675">
        <v>1318</v>
      </c>
      <c r="C2675" t="s">
        <v>597</v>
      </c>
      <c r="D2675" t="s">
        <v>3417</v>
      </c>
      <c r="E2675" t="s">
        <v>4206</v>
      </c>
      <c r="G2675">
        <v>218103</v>
      </c>
    </row>
    <row r="2676" spans="1:7" x14ac:dyDescent="0.35">
      <c r="A2676">
        <v>101299</v>
      </c>
      <c r="B2676">
        <v>745</v>
      </c>
      <c r="C2676" t="s">
        <v>597</v>
      </c>
      <c r="D2676" t="s">
        <v>742</v>
      </c>
      <c r="E2676" t="s">
        <v>4207</v>
      </c>
      <c r="F2676">
        <v>372</v>
      </c>
      <c r="G2676">
        <v>22709</v>
      </c>
    </row>
    <row r="2677" spans="1:7" x14ac:dyDescent="0.35">
      <c r="A2677">
        <v>103996</v>
      </c>
      <c r="B2677">
        <v>862</v>
      </c>
      <c r="C2677" t="s">
        <v>597</v>
      </c>
      <c r="D2677" t="s">
        <v>742</v>
      </c>
      <c r="E2677" t="s">
        <v>4208</v>
      </c>
      <c r="F2677">
        <v>608</v>
      </c>
      <c r="G2677">
        <v>226349</v>
      </c>
    </row>
    <row r="2678" spans="1:7" x14ac:dyDescent="0.35">
      <c r="A2678">
        <v>103976</v>
      </c>
      <c r="B2678">
        <v>2589</v>
      </c>
      <c r="C2678" t="s">
        <v>602</v>
      </c>
      <c r="D2678" t="s">
        <v>603</v>
      </c>
      <c r="E2678" t="s">
        <v>551</v>
      </c>
      <c r="G2678">
        <v>225462</v>
      </c>
    </row>
    <row r="2679" spans="1:7" x14ac:dyDescent="0.35">
      <c r="A2679">
        <v>101609</v>
      </c>
      <c r="B2679">
        <v>2268</v>
      </c>
      <c r="C2679" t="s">
        <v>597</v>
      </c>
      <c r="D2679" t="s">
        <v>603</v>
      </c>
      <c r="E2679" t="s">
        <v>4209</v>
      </c>
      <c r="G2679">
        <v>1865</v>
      </c>
    </row>
    <row r="2680" spans="1:7" x14ac:dyDescent="0.35">
      <c r="A2680">
        <v>103969</v>
      </c>
      <c r="B2680">
        <v>1832</v>
      </c>
      <c r="C2680" t="s">
        <v>602</v>
      </c>
      <c r="D2680" t="s">
        <v>882</v>
      </c>
      <c r="E2680" t="s">
        <v>4210</v>
      </c>
      <c r="G2680">
        <v>225369</v>
      </c>
    </row>
    <row r="2681" spans="1:7" x14ac:dyDescent="0.35">
      <c r="A2681">
        <v>103946</v>
      </c>
      <c r="B2681">
        <v>1810</v>
      </c>
      <c r="C2681" t="s">
        <v>597</v>
      </c>
      <c r="D2681" t="s">
        <v>882</v>
      </c>
      <c r="E2681" t="s">
        <v>4211</v>
      </c>
      <c r="G2681">
        <v>225476</v>
      </c>
    </row>
    <row r="2682" spans="1:7" x14ac:dyDescent="0.35">
      <c r="A2682">
        <v>101314</v>
      </c>
      <c r="B2682">
        <v>730</v>
      </c>
      <c r="C2682" t="s">
        <v>597</v>
      </c>
      <c r="D2682" t="s">
        <v>742</v>
      </c>
      <c r="E2682" t="s">
        <v>4212</v>
      </c>
      <c r="G2682">
        <v>1409</v>
      </c>
    </row>
    <row r="2683" spans="1:7" x14ac:dyDescent="0.35">
      <c r="A2683">
        <v>102419</v>
      </c>
      <c r="B2683">
        <v>2402</v>
      </c>
      <c r="C2683" t="s">
        <v>597</v>
      </c>
      <c r="D2683" t="s">
        <v>603</v>
      </c>
      <c r="E2683" t="s">
        <v>4213</v>
      </c>
    </row>
    <row r="2684" spans="1:7" x14ac:dyDescent="0.35">
      <c r="A2684">
        <v>103603</v>
      </c>
      <c r="B2684">
        <v>827</v>
      </c>
      <c r="C2684" t="s">
        <v>597</v>
      </c>
      <c r="D2684" t="s">
        <v>742</v>
      </c>
      <c r="E2684" t="s">
        <v>4214</v>
      </c>
      <c r="F2684">
        <v>569</v>
      </c>
      <c r="G2684">
        <v>222910</v>
      </c>
    </row>
    <row r="2685" spans="1:7" x14ac:dyDescent="0.35">
      <c r="A2685">
        <v>102754</v>
      </c>
      <c r="B2685">
        <v>2460</v>
      </c>
      <c r="C2685" t="s">
        <v>597</v>
      </c>
      <c r="D2685" t="s">
        <v>603</v>
      </c>
      <c r="E2685" t="s">
        <v>4215</v>
      </c>
      <c r="G2685">
        <v>221814</v>
      </c>
    </row>
    <row r="2686" spans="1:7" x14ac:dyDescent="0.35">
      <c r="A2686">
        <v>101847</v>
      </c>
      <c r="B2686">
        <v>2299</v>
      </c>
      <c r="C2686" t="s">
        <v>597</v>
      </c>
      <c r="D2686" t="s">
        <v>603</v>
      </c>
      <c r="E2686" t="s">
        <v>4216</v>
      </c>
      <c r="G2686">
        <v>220166</v>
      </c>
    </row>
    <row r="2687" spans="1:7" x14ac:dyDescent="0.35">
      <c r="A2687">
        <v>102795</v>
      </c>
      <c r="B2687">
        <v>2468</v>
      </c>
      <c r="C2687" t="s">
        <v>602</v>
      </c>
      <c r="D2687" t="s">
        <v>603</v>
      </c>
      <c r="E2687" t="s">
        <v>509</v>
      </c>
      <c r="G2687">
        <v>221656</v>
      </c>
    </row>
    <row r="2688" spans="1:7" x14ac:dyDescent="0.35">
      <c r="A2688">
        <v>103560</v>
      </c>
      <c r="B2688">
        <v>868</v>
      </c>
      <c r="C2688" t="s">
        <v>597</v>
      </c>
      <c r="D2688" t="s">
        <v>742</v>
      </c>
      <c r="E2688" t="s">
        <v>4217</v>
      </c>
      <c r="F2688">
        <v>329</v>
      </c>
      <c r="G2688">
        <v>220243</v>
      </c>
    </row>
    <row r="2689" spans="1:7" x14ac:dyDescent="0.35">
      <c r="A2689">
        <v>103549</v>
      </c>
      <c r="B2689">
        <v>630</v>
      </c>
      <c r="C2689" t="s">
        <v>597</v>
      </c>
      <c r="D2689" t="s">
        <v>742</v>
      </c>
      <c r="E2689" t="s">
        <v>4218</v>
      </c>
      <c r="F2689">
        <v>209</v>
      </c>
    </row>
    <row r="2690" spans="1:7" x14ac:dyDescent="0.35">
      <c r="A2690">
        <v>104018</v>
      </c>
      <c r="B2690">
        <v>670</v>
      </c>
      <c r="C2690" t="s">
        <v>597</v>
      </c>
      <c r="D2690" t="s">
        <v>742</v>
      </c>
      <c r="E2690" t="s">
        <v>4219</v>
      </c>
      <c r="F2690">
        <v>280</v>
      </c>
    </row>
    <row r="2691" spans="1:7" x14ac:dyDescent="0.35">
      <c r="A2691">
        <v>101180</v>
      </c>
      <c r="B2691">
        <v>1931</v>
      </c>
      <c r="C2691" t="s">
        <v>597</v>
      </c>
      <c r="D2691" t="s">
        <v>598</v>
      </c>
      <c r="E2691" t="s">
        <v>4220</v>
      </c>
      <c r="G2691">
        <v>219340</v>
      </c>
    </row>
    <row r="2692" spans="1:7" x14ac:dyDescent="0.35">
      <c r="A2692">
        <v>104103</v>
      </c>
      <c r="B2692">
        <v>907</v>
      </c>
      <c r="C2692" t="s">
        <v>597</v>
      </c>
      <c r="D2692" t="s">
        <v>742</v>
      </c>
      <c r="E2692" t="s">
        <v>4221</v>
      </c>
      <c r="F2692">
        <v>610</v>
      </c>
    </row>
    <row r="2693" spans="1:7" x14ac:dyDescent="0.35">
      <c r="A2693">
        <v>103905</v>
      </c>
      <c r="B2693">
        <v>1773</v>
      </c>
      <c r="C2693" t="s">
        <v>602</v>
      </c>
      <c r="D2693" t="s">
        <v>882</v>
      </c>
      <c r="E2693" t="s">
        <v>4222</v>
      </c>
      <c r="G2693">
        <v>225372</v>
      </c>
    </row>
    <row r="2694" spans="1:7" x14ac:dyDescent="0.35">
      <c r="A2694">
        <v>104041</v>
      </c>
      <c r="B2694">
        <v>718</v>
      </c>
      <c r="C2694" t="s">
        <v>597</v>
      </c>
      <c r="D2694" t="s">
        <v>742</v>
      </c>
      <c r="E2694" t="s">
        <v>4223</v>
      </c>
      <c r="F2694">
        <v>271</v>
      </c>
      <c r="G2694">
        <v>219697</v>
      </c>
    </row>
    <row r="2695" spans="1:7" x14ac:dyDescent="0.35">
      <c r="A2695">
        <v>103215</v>
      </c>
      <c r="B2695">
        <v>2506</v>
      </c>
      <c r="C2695" t="s">
        <v>597</v>
      </c>
      <c r="D2695" t="s">
        <v>603</v>
      </c>
      <c r="E2695" t="s">
        <v>4224</v>
      </c>
    </row>
    <row r="2696" spans="1:7" x14ac:dyDescent="0.35">
      <c r="A2696">
        <v>101736</v>
      </c>
      <c r="B2696">
        <v>2281</v>
      </c>
      <c r="C2696" t="s">
        <v>602</v>
      </c>
      <c r="D2696" t="s">
        <v>603</v>
      </c>
      <c r="E2696" t="s">
        <v>4225</v>
      </c>
      <c r="G2696">
        <v>829</v>
      </c>
    </row>
    <row r="2697" spans="1:7" x14ac:dyDescent="0.35">
      <c r="A2697">
        <v>101057</v>
      </c>
      <c r="B2697">
        <v>1899</v>
      </c>
      <c r="C2697" t="s">
        <v>597</v>
      </c>
      <c r="D2697" t="s">
        <v>598</v>
      </c>
      <c r="E2697" t="s">
        <v>4226</v>
      </c>
      <c r="G2697">
        <v>2274</v>
      </c>
    </row>
    <row r="2698" spans="1:7" x14ac:dyDescent="0.35">
      <c r="A2698">
        <v>103675</v>
      </c>
      <c r="B2698">
        <v>715</v>
      </c>
      <c r="C2698" t="s">
        <v>597</v>
      </c>
      <c r="D2698" t="s">
        <v>742</v>
      </c>
      <c r="E2698" t="s">
        <v>4227</v>
      </c>
      <c r="F2698">
        <v>354</v>
      </c>
      <c r="G2698">
        <v>223055</v>
      </c>
    </row>
    <row r="2699" spans="1:7" x14ac:dyDescent="0.35">
      <c r="A2699">
        <v>103641</v>
      </c>
      <c r="B2699">
        <v>815</v>
      </c>
      <c r="C2699" t="s">
        <v>597</v>
      </c>
      <c r="D2699" t="s">
        <v>742</v>
      </c>
      <c r="E2699" t="s">
        <v>4228</v>
      </c>
      <c r="F2699">
        <v>508</v>
      </c>
      <c r="G2699">
        <v>223056</v>
      </c>
    </row>
    <row r="2700" spans="1:7" x14ac:dyDescent="0.35">
      <c r="A2700">
        <v>103727</v>
      </c>
      <c r="B2700">
        <v>2562</v>
      </c>
      <c r="C2700" t="s">
        <v>602</v>
      </c>
      <c r="D2700" t="s">
        <v>603</v>
      </c>
      <c r="E2700" t="s">
        <v>4229</v>
      </c>
      <c r="G2700">
        <v>1404</v>
      </c>
    </row>
    <row r="2701" spans="1:7" x14ac:dyDescent="0.35">
      <c r="A2701">
        <v>102357</v>
      </c>
      <c r="B2701">
        <v>616</v>
      </c>
      <c r="C2701" t="s">
        <v>597</v>
      </c>
      <c r="D2701" t="s">
        <v>742</v>
      </c>
      <c r="E2701" t="s">
        <v>4230</v>
      </c>
      <c r="F2701">
        <v>412</v>
      </c>
    </row>
    <row r="2702" spans="1:7" x14ac:dyDescent="0.35">
      <c r="A2702">
        <v>103524</v>
      </c>
      <c r="B2702">
        <v>2535</v>
      </c>
      <c r="C2702" t="s">
        <v>597</v>
      </c>
      <c r="D2702" t="s">
        <v>603</v>
      </c>
      <c r="E2702" t="s">
        <v>4231</v>
      </c>
    </row>
    <row r="2703" spans="1:7" x14ac:dyDescent="0.35">
      <c r="A2703">
        <v>104030</v>
      </c>
      <c r="B2703">
        <v>653</v>
      </c>
      <c r="C2703" t="s">
        <v>597</v>
      </c>
      <c r="D2703" t="s">
        <v>742</v>
      </c>
      <c r="E2703" t="s">
        <v>4232</v>
      </c>
      <c r="F2703">
        <v>159</v>
      </c>
      <c r="G2703">
        <v>222783</v>
      </c>
    </row>
    <row r="2704" spans="1:7" x14ac:dyDescent="0.35">
      <c r="A2704">
        <v>101202</v>
      </c>
      <c r="B2704">
        <v>2250</v>
      </c>
      <c r="C2704" t="s">
        <v>602</v>
      </c>
      <c r="D2704" t="s">
        <v>603</v>
      </c>
      <c r="E2704" t="s">
        <v>201</v>
      </c>
      <c r="G2704">
        <v>217948</v>
      </c>
    </row>
    <row r="2705" spans="1:7" x14ac:dyDescent="0.35">
      <c r="A2705">
        <v>104183</v>
      </c>
      <c r="B2705">
        <v>638</v>
      </c>
      <c r="C2705" t="s">
        <v>597</v>
      </c>
      <c r="D2705" t="s">
        <v>742</v>
      </c>
      <c r="E2705" t="s">
        <v>4233</v>
      </c>
      <c r="F2705">
        <v>623</v>
      </c>
      <c r="G2705">
        <v>226854</v>
      </c>
    </row>
    <row r="2706" spans="1:7" x14ac:dyDescent="0.35">
      <c r="A2706">
        <v>104194</v>
      </c>
      <c r="B2706">
        <v>891</v>
      </c>
      <c r="C2706" t="s">
        <v>597</v>
      </c>
      <c r="D2706" t="s">
        <v>742</v>
      </c>
      <c r="E2706" t="s">
        <v>4234</v>
      </c>
      <c r="F2706">
        <v>482</v>
      </c>
      <c r="G2706">
        <v>226923</v>
      </c>
    </row>
    <row r="2707" spans="1:7" x14ac:dyDescent="0.35">
      <c r="A2707">
        <v>103906</v>
      </c>
      <c r="B2707">
        <v>1774</v>
      </c>
      <c r="C2707" t="s">
        <v>597</v>
      </c>
      <c r="D2707" t="s">
        <v>882</v>
      </c>
      <c r="E2707" t="s">
        <v>4235</v>
      </c>
      <c r="G2707">
        <v>225379</v>
      </c>
    </row>
    <row r="2708" spans="1:7" x14ac:dyDescent="0.35">
      <c r="A2708">
        <v>103036</v>
      </c>
      <c r="B2708">
        <v>2480</v>
      </c>
      <c r="C2708" t="s">
        <v>602</v>
      </c>
      <c r="D2708" t="s">
        <v>603</v>
      </c>
      <c r="E2708" t="s">
        <v>527</v>
      </c>
      <c r="G2708">
        <v>219473</v>
      </c>
    </row>
    <row r="2709" spans="1:7" x14ac:dyDescent="0.35">
      <c r="A2709">
        <v>103753</v>
      </c>
      <c r="B2709">
        <v>610</v>
      </c>
      <c r="C2709" t="s">
        <v>597</v>
      </c>
      <c r="D2709" t="s">
        <v>742</v>
      </c>
      <c r="E2709" t="s">
        <v>4236</v>
      </c>
      <c r="F2709">
        <v>116</v>
      </c>
    </row>
    <row r="2710" spans="1:7" x14ac:dyDescent="0.35">
      <c r="A2710">
        <v>103037</v>
      </c>
      <c r="B2710">
        <v>2481</v>
      </c>
      <c r="C2710" t="s">
        <v>597</v>
      </c>
      <c r="D2710" t="s">
        <v>603</v>
      </c>
      <c r="E2710" t="s">
        <v>4237</v>
      </c>
    </row>
    <row r="2711" spans="1:7" x14ac:dyDescent="0.35">
      <c r="A2711">
        <v>103687</v>
      </c>
      <c r="B2711">
        <v>683</v>
      </c>
      <c r="C2711" t="s">
        <v>597</v>
      </c>
      <c r="D2711" t="s">
        <v>742</v>
      </c>
      <c r="E2711" t="s">
        <v>4238</v>
      </c>
      <c r="F2711">
        <v>148</v>
      </c>
    </row>
    <row r="2712" spans="1:7" x14ac:dyDescent="0.35">
      <c r="A2712">
        <v>103467</v>
      </c>
      <c r="B2712">
        <v>930</v>
      </c>
      <c r="C2712" t="s">
        <v>597</v>
      </c>
      <c r="D2712" t="s">
        <v>742</v>
      </c>
      <c r="E2712" t="s">
        <v>4239</v>
      </c>
      <c r="F2712">
        <v>333</v>
      </c>
      <c r="G2712">
        <v>222876</v>
      </c>
    </row>
    <row r="2713" spans="1:7" x14ac:dyDescent="0.35">
      <c r="A2713">
        <v>104004</v>
      </c>
      <c r="B2713">
        <v>892</v>
      </c>
      <c r="C2713" t="s">
        <v>597</v>
      </c>
      <c r="D2713" t="s">
        <v>742</v>
      </c>
      <c r="E2713" t="s">
        <v>4240</v>
      </c>
      <c r="F2713">
        <v>339</v>
      </c>
    </row>
    <row r="2714" spans="1:7" x14ac:dyDescent="0.35">
      <c r="A2714">
        <v>101645</v>
      </c>
      <c r="B2714">
        <v>2274</v>
      </c>
      <c r="C2714" t="s">
        <v>597</v>
      </c>
      <c r="D2714" t="s">
        <v>603</v>
      </c>
      <c r="E2714" t="s">
        <v>4241</v>
      </c>
      <c r="G2714">
        <v>15067</v>
      </c>
    </row>
    <row r="2715" spans="1:7" x14ac:dyDescent="0.35">
      <c r="A2715">
        <v>102214</v>
      </c>
      <c r="B2715">
        <v>2367</v>
      </c>
      <c r="C2715" t="s">
        <v>597</v>
      </c>
      <c r="D2715" t="s">
        <v>603</v>
      </c>
      <c r="E2715" t="s">
        <v>4242</v>
      </c>
      <c r="G2715">
        <v>217980</v>
      </c>
    </row>
    <row r="2716" spans="1:7" x14ac:dyDescent="0.35">
      <c r="A2716">
        <v>101031</v>
      </c>
      <c r="B2716">
        <v>620</v>
      </c>
      <c r="C2716" t="s">
        <v>597</v>
      </c>
      <c r="D2716" t="s">
        <v>742</v>
      </c>
      <c r="E2716" t="s">
        <v>4243</v>
      </c>
      <c r="F2716">
        <v>468</v>
      </c>
      <c r="G2716">
        <v>218762</v>
      </c>
    </row>
    <row r="2717" spans="1:7" x14ac:dyDescent="0.35">
      <c r="A2717">
        <v>103089</v>
      </c>
      <c r="B2717">
        <v>2489</v>
      </c>
      <c r="C2717" t="s">
        <v>602</v>
      </c>
      <c r="D2717" t="s">
        <v>603</v>
      </c>
      <c r="E2717" t="s">
        <v>4244</v>
      </c>
      <c r="G2717">
        <v>23089</v>
      </c>
    </row>
    <row r="2718" spans="1:7" x14ac:dyDescent="0.35">
      <c r="A2718">
        <v>104124</v>
      </c>
      <c r="B2718">
        <v>838</v>
      </c>
      <c r="C2718" t="s">
        <v>597</v>
      </c>
      <c r="D2718" t="s">
        <v>742</v>
      </c>
      <c r="E2718" t="s">
        <v>4245</v>
      </c>
      <c r="F2718">
        <v>448</v>
      </c>
      <c r="G2718">
        <v>1749</v>
      </c>
    </row>
    <row r="2719" spans="1:7" x14ac:dyDescent="0.35">
      <c r="A2719">
        <v>101786</v>
      </c>
      <c r="B2719">
        <v>2288</v>
      </c>
      <c r="C2719" t="s">
        <v>597</v>
      </c>
      <c r="D2719" t="s">
        <v>603</v>
      </c>
      <c r="E2719" t="s">
        <v>4246</v>
      </c>
    </row>
    <row r="2720" spans="1:7" x14ac:dyDescent="0.35">
      <c r="A2720">
        <v>101936</v>
      </c>
      <c r="B2720">
        <v>2326</v>
      </c>
      <c r="C2720" t="s">
        <v>602</v>
      </c>
      <c r="D2720" t="s">
        <v>603</v>
      </c>
      <c r="E2720" t="s">
        <v>4247</v>
      </c>
      <c r="G2720">
        <v>220365</v>
      </c>
    </row>
    <row r="2721" spans="1:7" x14ac:dyDescent="0.35">
      <c r="A2721">
        <v>103509</v>
      </c>
      <c r="B2721">
        <v>904</v>
      </c>
      <c r="C2721" t="s">
        <v>597</v>
      </c>
      <c r="D2721" t="s">
        <v>742</v>
      </c>
      <c r="E2721" t="s">
        <v>4248</v>
      </c>
      <c r="F2721">
        <v>362</v>
      </c>
      <c r="G2721">
        <v>222860</v>
      </c>
    </row>
    <row r="2722" spans="1:7" x14ac:dyDescent="0.35">
      <c r="A2722">
        <v>103638</v>
      </c>
      <c r="B2722">
        <v>692</v>
      </c>
      <c r="C2722" t="s">
        <v>597</v>
      </c>
      <c r="D2722" t="s">
        <v>742</v>
      </c>
      <c r="E2722" t="s">
        <v>4249</v>
      </c>
      <c r="F2722">
        <v>306</v>
      </c>
      <c r="G2722">
        <v>223054</v>
      </c>
    </row>
    <row r="2723" spans="1:7" x14ac:dyDescent="0.35">
      <c r="A2723">
        <v>104381</v>
      </c>
      <c r="B2723">
        <v>3293</v>
      </c>
      <c r="C2723" t="s">
        <v>602</v>
      </c>
      <c r="D2723" t="s">
        <v>603</v>
      </c>
      <c r="E2723" t="s">
        <v>4250</v>
      </c>
      <c r="G2723">
        <v>229114</v>
      </c>
    </row>
    <row r="2724" spans="1:7" x14ac:dyDescent="0.35">
      <c r="A2724">
        <v>103029</v>
      </c>
      <c r="B2724">
        <v>2479</v>
      </c>
      <c r="C2724" t="s">
        <v>602</v>
      </c>
      <c r="D2724" t="s">
        <v>603</v>
      </c>
      <c r="E2724" t="s">
        <v>4251</v>
      </c>
      <c r="G2724">
        <v>227323</v>
      </c>
    </row>
    <row r="2725" spans="1:7" x14ac:dyDescent="0.35">
      <c r="A2725">
        <v>102487</v>
      </c>
      <c r="B2725">
        <v>2417</v>
      </c>
      <c r="C2725" t="s">
        <v>597</v>
      </c>
      <c r="D2725" t="s">
        <v>603</v>
      </c>
      <c r="E2725" t="s">
        <v>4252</v>
      </c>
      <c r="G2725">
        <v>1763</v>
      </c>
    </row>
    <row r="2726" spans="1:7" x14ac:dyDescent="0.35">
      <c r="A2726">
        <v>104219</v>
      </c>
      <c r="B2726">
        <v>2620</v>
      </c>
      <c r="C2726" t="s">
        <v>602</v>
      </c>
      <c r="D2726" t="s">
        <v>603</v>
      </c>
      <c r="E2726" t="s">
        <v>4253</v>
      </c>
      <c r="G2726">
        <v>227234</v>
      </c>
    </row>
    <row r="2727" spans="1:7" x14ac:dyDescent="0.35">
      <c r="A2727">
        <v>103751</v>
      </c>
      <c r="B2727">
        <v>753</v>
      </c>
      <c r="C2727" t="s">
        <v>597</v>
      </c>
      <c r="D2727" t="s">
        <v>742</v>
      </c>
      <c r="E2727" t="s">
        <v>4254</v>
      </c>
      <c r="F2727">
        <v>199</v>
      </c>
    </row>
    <row r="2728" spans="1:7" x14ac:dyDescent="0.35">
      <c r="A2728">
        <v>103611</v>
      </c>
      <c r="B2728">
        <v>736</v>
      </c>
      <c r="C2728" t="s">
        <v>597</v>
      </c>
      <c r="D2728" t="s">
        <v>742</v>
      </c>
      <c r="E2728" t="s">
        <v>4255</v>
      </c>
      <c r="F2728">
        <v>298</v>
      </c>
    </row>
    <row r="2729" spans="1:7" x14ac:dyDescent="0.35">
      <c r="A2729">
        <v>103752</v>
      </c>
      <c r="B2729">
        <v>772</v>
      </c>
      <c r="C2729" t="s">
        <v>597</v>
      </c>
      <c r="D2729" t="s">
        <v>742</v>
      </c>
      <c r="E2729" t="s">
        <v>4256</v>
      </c>
      <c r="F2729">
        <v>307</v>
      </c>
      <c r="G2729">
        <v>220575</v>
      </c>
    </row>
    <row r="2730" spans="1:7" x14ac:dyDescent="0.35">
      <c r="A2730">
        <v>101803</v>
      </c>
      <c r="B2730">
        <v>2290</v>
      </c>
      <c r="C2730" t="s">
        <v>602</v>
      </c>
      <c r="D2730" t="s">
        <v>603</v>
      </c>
      <c r="E2730" t="s">
        <v>89</v>
      </c>
      <c r="G2730">
        <v>594</v>
      </c>
    </row>
    <row r="2731" spans="1:7" x14ac:dyDescent="0.35">
      <c r="A2731">
        <v>101856</v>
      </c>
      <c r="B2731">
        <v>2303</v>
      </c>
      <c r="C2731" t="s">
        <v>602</v>
      </c>
      <c r="D2731" t="s">
        <v>603</v>
      </c>
      <c r="E2731" t="s">
        <v>189</v>
      </c>
      <c r="F2731">
        <v>225445</v>
      </c>
      <c r="G2731">
        <v>219348</v>
      </c>
    </row>
    <row r="2732" spans="1:7" x14ac:dyDescent="0.35">
      <c r="A2732">
        <v>102785</v>
      </c>
      <c r="B2732">
        <v>2466</v>
      </c>
      <c r="C2732" t="s">
        <v>597</v>
      </c>
      <c r="D2732" t="s">
        <v>603</v>
      </c>
      <c r="E2732" t="s">
        <v>4257</v>
      </c>
      <c r="G2732">
        <v>1768</v>
      </c>
    </row>
    <row r="2733" spans="1:7" x14ac:dyDescent="0.35">
      <c r="A2733">
        <v>104348</v>
      </c>
      <c r="B2733">
        <v>2685</v>
      </c>
      <c r="C2733" t="s">
        <v>602</v>
      </c>
      <c r="D2733" t="s">
        <v>603</v>
      </c>
      <c r="E2733" t="s">
        <v>4258</v>
      </c>
      <c r="G2733">
        <v>228772</v>
      </c>
    </row>
    <row r="2734" spans="1:7" x14ac:dyDescent="0.35">
      <c r="A2734">
        <v>103473</v>
      </c>
      <c r="B2734">
        <v>750</v>
      </c>
      <c r="C2734" t="s">
        <v>597</v>
      </c>
      <c r="D2734" t="s">
        <v>742</v>
      </c>
      <c r="E2734" t="s">
        <v>4259</v>
      </c>
      <c r="F2734">
        <v>520</v>
      </c>
      <c r="G2734">
        <v>1431</v>
      </c>
    </row>
    <row r="2735" spans="1:7" x14ac:dyDescent="0.35">
      <c r="A2735">
        <v>104070</v>
      </c>
      <c r="B2735">
        <v>695</v>
      </c>
      <c r="C2735" t="s">
        <v>597</v>
      </c>
      <c r="D2735" t="s">
        <v>742</v>
      </c>
      <c r="E2735" t="s">
        <v>4260</v>
      </c>
      <c r="F2735">
        <v>611</v>
      </c>
      <c r="G2735">
        <v>226176</v>
      </c>
    </row>
    <row r="2736" spans="1:7" x14ac:dyDescent="0.35">
      <c r="A2736">
        <v>101792</v>
      </c>
      <c r="B2736">
        <v>2289</v>
      </c>
      <c r="C2736" t="s">
        <v>597</v>
      </c>
      <c r="D2736" t="s">
        <v>603</v>
      </c>
      <c r="E2736" t="s">
        <v>4261</v>
      </c>
      <c r="F2736">
        <v>269001</v>
      </c>
      <c r="G2736">
        <v>23046</v>
      </c>
    </row>
    <row r="2737" spans="1:7" x14ac:dyDescent="0.35">
      <c r="A2737">
        <v>101662</v>
      </c>
      <c r="B2737">
        <v>633</v>
      </c>
      <c r="C2737" t="s">
        <v>597</v>
      </c>
      <c r="D2737" t="s">
        <v>742</v>
      </c>
      <c r="E2737" t="s">
        <v>4262</v>
      </c>
      <c r="F2737">
        <v>114</v>
      </c>
      <c r="G2737">
        <v>3174</v>
      </c>
    </row>
    <row r="2738" spans="1:7" x14ac:dyDescent="0.35">
      <c r="A2738">
        <v>0</v>
      </c>
      <c r="B2738">
        <v>3384</v>
      </c>
      <c r="C2738" t="s">
        <v>602</v>
      </c>
      <c r="D2738" t="s">
        <v>2470</v>
      </c>
      <c r="E2738" t="s">
        <v>4263</v>
      </c>
      <c r="G2738">
        <v>0</v>
      </c>
    </row>
    <row r="2739" spans="1:7" x14ac:dyDescent="0.35">
      <c r="A2739">
        <v>103940</v>
      </c>
      <c r="B2739">
        <v>1804</v>
      </c>
      <c r="C2739" t="s">
        <v>597</v>
      </c>
      <c r="D2739" t="s">
        <v>882</v>
      </c>
      <c r="E2739" t="s">
        <v>4264</v>
      </c>
      <c r="G2739">
        <v>225935</v>
      </c>
    </row>
    <row r="2740" spans="1:7" x14ac:dyDescent="0.35">
      <c r="A2740">
        <v>102210</v>
      </c>
      <c r="B2740">
        <v>2364</v>
      </c>
      <c r="C2740" t="s">
        <v>602</v>
      </c>
      <c r="D2740" t="s">
        <v>603</v>
      </c>
      <c r="E2740" t="s">
        <v>4265</v>
      </c>
      <c r="G2740">
        <v>1531</v>
      </c>
    </row>
    <row r="2741" spans="1:7" x14ac:dyDescent="0.35">
      <c r="A2741">
        <v>102203</v>
      </c>
      <c r="B2741">
        <v>2056</v>
      </c>
      <c r="C2741" t="s">
        <v>597</v>
      </c>
      <c r="D2741" t="s">
        <v>598</v>
      </c>
      <c r="E2741" t="s">
        <v>4266</v>
      </c>
    </row>
    <row r="2742" spans="1:7" x14ac:dyDescent="0.35">
      <c r="A2742">
        <v>101692</v>
      </c>
      <c r="B2742">
        <v>1317</v>
      </c>
      <c r="C2742" t="s">
        <v>597</v>
      </c>
      <c r="D2742" t="s">
        <v>3417</v>
      </c>
      <c r="E2742" t="s">
        <v>4267</v>
      </c>
      <c r="G2742">
        <v>217982</v>
      </c>
    </row>
    <row r="2743" spans="1:7" x14ac:dyDescent="0.35">
      <c r="A2743">
        <v>103263</v>
      </c>
      <c r="B2743">
        <v>2511</v>
      </c>
      <c r="C2743" t="s">
        <v>597</v>
      </c>
      <c r="D2743" t="s">
        <v>603</v>
      </c>
      <c r="E2743" t="s">
        <v>4268</v>
      </c>
    </row>
    <row r="2744" spans="1:7" x14ac:dyDescent="0.35">
      <c r="A2744">
        <v>101680</v>
      </c>
      <c r="B2744">
        <v>1306</v>
      </c>
      <c r="C2744" t="s">
        <v>597</v>
      </c>
      <c r="D2744" t="s">
        <v>3417</v>
      </c>
      <c r="E2744" t="s">
        <v>4269</v>
      </c>
      <c r="G2744">
        <v>217984</v>
      </c>
    </row>
    <row r="2745" spans="1:7" x14ac:dyDescent="0.35">
      <c r="A2745">
        <v>102694</v>
      </c>
      <c r="B2745">
        <v>2444</v>
      </c>
      <c r="C2745" t="s">
        <v>602</v>
      </c>
      <c r="D2745" t="s">
        <v>603</v>
      </c>
      <c r="E2745" t="s">
        <v>4270</v>
      </c>
      <c r="G2745">
        <v>221314</v>
      </c>
    </row>
    <row r="2746" spans="1:7" x14ac:dyDescent="0.35">
      <c r="A2746">
        <v>103517</v>
      </c>
      <c r="B2746">
        <v>679</v>
      </c>
      <c r="C2746" t="s">
        <v>597</v>
      </c>
      <c r="D2746" t="s">
        <v>742</v>
      </c>
      <c r="E2746" t="s">
        <v>4271</v>
      </c>
      <c r="F2746">
        <v>398</v>
      </c>
    </row>
    <row r="2747" spans="1:7" x14ac:dyDescent="0.35">
      <c r="A2747">
        <v>103437</v>
      </c>
      <c r="B2747">
        <v>1580</v>
      </c>
      <c r="C2747" t="s">
        <v>597</v>
      </c>
      <c r="D2747" t="s">
        <v>1066</v>
      </c>
      <c r="E2747" t="s">
        <v>4272</v>
      </c>
    </row>
    <row r="2748" spans="1:7" x14ac:dyDescent="0.35">
      <c r="A2748">
        <v>102415</v>
      </c>
      <c r="B2748">
        <v>2401</v>
      </c>
      <c r="C2748" t="s">
        <v>597</v>
      </c>
      <c r="D2748" t="s">
        <v>603</v>
      </c>
      <c r="E2748" t="s">
        <v>4273</v>
      </c>
      <c r="G2748">
        <v>1453</v>
      </c>
    </row>
    <row r="2749" spans="1:7" x14ac:dyDescent="0.35">
      <c r="A2749">
        <v>101713</v>
      </c>
      <c r="B2749">
        <v>771</v>
      </c>
      <c r="C2749" t="s">
        <v>597</v>
      </c>
      <c r="D2749" t="s">
        <v>742</v>
      </c>
      <c r="E2749" t="s">
        <v>4274</v>
      </c>
      <c r="F2749">
        <v>196</v>
      </c>
      <c r="G2749">
        <v>219855</v>
      </c>
    </row>
    <row r="2750" spans="1:7" x14ac:dyDescent="0.35">
      <c r="A2750">
        <v>103584</v>
      </c>
      <c r="B2750">
        <v>2540</v>
      </c>
      <c r="C2750" t="s">
        <v>602</v>
      </c>
      <c r="D2750" t="s">
        <v>603</v>
      </c>
      <c r="E2750" t="s">
        <v>4275</v>
      </c>
      <c r="G2750">
        <v>222994</v>
      </c>
    </row>
    <row r="2751" spans="1:7" x14ac:dyDescent="0.35">
      <c r="A2751">
        <v>103615</v>
      </c>
      <c r="B2751">
        <v>689</v>
      </c>
      <c r="C2751" t="s">
        <v>597</v>
      </c>
      <c r="D2751" t="s">
        <v>742</v>
      </c>
      <c r="E2751" t="s">
        <v>4276</v>
      </c>
      <c r="F2751">
        <v>326</v>
      </c>
    </row>
    <row r="2752" spans="1:7" x14ac:dyDescent="0.35">
      <c r="A2752">
        <v>103144</v>
      </c>
      <c r="B2752">
        <v>2495</v>
      </c>
      <c r="C2752" t="s">
        <v>597</v>
      </c>
      <c r="D2752" t="s">
        <v>603</v>
      </c>
      <c r="E2752" t="s">
        <v>4277</v>
      </c>
    </row>
    <row r="2753" spans="1:7" x14ac:dyDescent="0.35">
      <c r="A2753">
        <v>104221</v>
      </c>
      <c r="B2753">
        <v>3175</v>
      </c>
      <c r="C2753" t="s">
        <v>597</v>
      </c>
      <c r="D2753" t="s">
        <v>603</v>
      </c>
      <c r="E2753" t="s">
        <v>4278</v>
      </c>
      <c r="F2753">
        <v>615314</v>
      </c>
      <c r="G2753">
        <v>227217</v>
      </c>
    </row>
    <row r="2754" spans="1:7" x14ac:dyDescent="0.35">
      <c r="A2754">
        <v>103583</v>
      </c>
      <c r="B2754">
        <v>2539</v>
      </c>
      <c r="C2754" t="s">
        <v>602</v>
      </c>
      <c r="D2754" t="s">
        <v>603</v>
      </c>
      <c r="E2754" t="s">
        <v>4279</v>
      </c>
      <c r="G2754">
        <v>222995</v>
      </c>
    </row>
    <row r="2755" spans="1:7" x14ac:dyDescent="0.35">
      <c r="A2755">
        <v>102561</v>
      </c>
      <c r="B2755">
        <v>2425</v>
      </c>
      <c r="C2755" t="s">
        <v>602</v>
      </c>
      <c r="D2755" t="s">
        <v>603</v>
      </c>
      <c r="E2755" t="s">
        <v>4280</v>
      </c>
      <c r="G2755">
        <v>1181</v>
      </c>
    </row>
    <row r="2756" spans="1:7" x14ac:dyDescent="0.35">
      <c r="A2756">
        <v>101308</v>
      </c>
      <c r="B2756">
        <v>732</v>
      </c>
      <c r="C2756" t="s">
        <v>597</v>
      </c>
      <c r="D2756" t="s">
        <v>742</v>
      </c>
      <c r="E2756" t="s">
        <v>4281</v>
      </c>
      <c r="F2756">
        <v>488</v>
      </c>
      <c r="G2756">
        <v>219991</v>
      </c>
    </row>
    <row r="2757" spans="1:7" x14ac:dyDescent="0.35">
      <c r="A2757">
        <v>104175</v>
      </c>
      <c r="B2757">
        <v>954</v>
      </c>
      <c r="C2757" t="s">
        <v>597</v>
      </c>
      <c r="D2757" t="s">
        <v>742</v>
      </c>
      <c r="E2757" t="s">
        <v>4282</v>
      </c>
      <c r="F2757">
        <v>626</v>
      </c>
      <c r="G2757">
        <v>226840</v>
      </c>
    </row>
    <row r="2758" spans="1:7" x14ac:dyDescent="0.35">
      <c r="A2758">
        <v>101860</v>
      </c>
      <c r="B2758">
        <v>2306</v>
      </c>
      <c r="C2758" t="s">
        <v>602</v>
      </c>
      <c r="D2758" t="s">
        <v>603</v>
      </c>
      <c r="E2758" t="s">
        <v>335</v>
      </c>
      <c r="F2758">
        <v>273001</v>
      </c>
      <c r="G2758">
        <v>21316</v>
      </c>
    </row>
    <row r="2759" spans="1:7" x14ac:dyDescent="0.35">
      <c r="A2759">
        <v>102096</v>
      </c>
      <c r="B2759">
        <v>1397</v>
      </c>
      <c r="C2759" t="s">
        <v>597</v>
      </c>
      <c r="D2759" t="s">
        <v>1066</v>
      </c>
      <c r="E2759" t="s">
        <v>4283</v>
      </c>
    </row>
    <row r="2760" spans="1:7" x14ac:dyDescent="0.35">
      <c r="A2760">
        <v>102369</v>
      </c>
      <c r="B2760">
        <v>917</v>
      </c>
      <c r="C2760" t="s">
        <v>597</v>
      </c>
      <c r="D2760" t="s">
        <v>742</v>
      </c>
      <c r="E2760" t="s">
        <v>4284</v>
      </c>
      <c r="F2760">
        <v>464</v>
      </c>
      <c r="G2760">
        <v>219865</v>
      </c>
    </row>
    <row r="2761" spans="1:7" x14ac:dyDescent="0.35">
      <c r="A2761">
        <v>101320</v>
      </c>
      <c r="B2761">
        <v>2261</v>
      </c>
      <c r="C2761" t="s">
        <v>597</v>
      </c>
      <c r="D2761" t="s">
        <v>603</v>
      </c>
      <c r="E2761" t="s">
        <v>4285</v>
      </c>
    </row>
    <row r="2762" spans="1:7" x14ac:dyDescent="0.35">
      <c r="A2762">
        <v>103998</v>
      </c>
      <c r="B2762">
        <v>932</v>
      </c>
      <c r="C2762" t="s">
        <v>597</v>
      </c>
      <c r="D2762" t="s">
        <v>742</v>
      </c>
      <c r="E2762" t="s">
        <v>4286</v>
      </c>
      <c r="F2762">
        <v>192</v>
      </c>
      <c r="G2762">
        <v>219804</v>
      </c>
    </row>
    <row r="2763" spans="1:7" x14ac:dyDescent="0.35">
      <c r="A2763">
        <v>101826</v>
      </c>
      <c r="B2763">
        <v>2294</v>
      </c>
      <c r="C2763" t="s">
        <v>597</v>
      </c>
      <c r="D2763" t="s">
        <v>603</v>
      </c>
      <c r="E2763" t="s">
        <v>4287</v>
      </c>
    </row>
    <row r="2764" spans="1:7" x14ac:dyDescent="0.35">
      <c r="A2764">
        <v>102533</v>
      </c>
      <c r="B2764">
        <v>700</v>
      </c>
      <c r="C2764" t="s">
        <v>597</v>
      </c>
      <c r="D2764" t="s">
        <v>742</v>
      </c>
      <c r="E2764" t="s">
        <v>4288</v>
      </c>
      <c r="F2764">
        <v>365</v>
      </c>
      <c r="G2764">
        <v>2591</v>
      </c>
    </row>
    <row r="2765" spans="1:7" x14ac:dyDescent="0.35">
      <c r="A2765">
        <v>104065</v>
      </c>
      <c r="B2765">
        <v>752</v>
      </c>
      <c r="C2765" t="s">
        <v>597</v>
      </c>
      <c r="D2765" t="s">
        <v>742</v>
      </c>
      <c r="E2765" t="s">
        <v>4289</v>
      </c>
      <c r="F2765">
        <v>160</v>
      </c>
      <c r="G2765">
        <v>1433</v>
      </c>
    </row>
    <row r="2766" spans="1:7" x14ac:dyDescent="0.35">
      <c r="A2766">
        <v>103786</v>
      </c>
      <c r="B2766">
        <v>2575</v>
      </c>
      <c r="C2766" t="s">
        <v>597</v>
      </c>
      <c r="D2766" t="s">
        <v>603</v>
      </c>
      <c r="E2766" t="s">
        <v>4290</v>
      </c>
      <c r="G2766">
        <v>1080</v>
      </c>
    </row>
    <row r="2767" spans="1:7" x14ac:dyDescent="0.35">
      <c r="A2767">
        <v>101699</v>
      </c>
      <c r="B2767">
        <v>1323</v>
      </c>
      <c r="C2767" t="s">
        <v>597</v>
      </c>
      <c r="D2767" t="s">
        <v>3417</v>
      </c>
      <c r="E2767" t="s">
        <v>4291</v>
      </c>
      <c r="G2767">
        <v>218090</v>
      </c>
    </row>
    <row r="2768" spans="1:7" x14ac:dyDescent="0.35">
      <c r="A2768">
        <v>103083</v>
      </c>
      <c r="B2768">
        <v>627</v>
      </c>
      <c r="C2768" t="s">
        <v>597</v>
      </c>
      <c r="D2768" t="s">
        <v>742</v>
      </c>
      <c r="E2768" t="s">
        <v>4292</v>
      </c>
      <c r="F2768">
        <v>424</v>
      </c>
      <c r="G2768">
        <v>220362</v>
      </c>
    </row>
    <row r="2769" spans="1:11" x14ac:dyDescent="0.35">
      <c r="A2769">
        <v>104107</v>
      </c>
      <c r="B2769">
        <v>2612</v>
      </c>
      <c r="C2769" t="s">
        <v>602</v>
      </c>
      <c r="D2769" t="s">
        <v>603</v>
      </c>
      <c r="E2769" t="s">
        <v>4293</v>
      </c>
      <c r="G2769">
        <v>226368</v>
      </c>
    </row>
    <row r="2770" spans="1:11" x14ac:dyDescent="0.35">
      <c r="A2770">
        <v>103479</v>
      </c>
      <c r="B2770">
        <v>936</v>
      </c>
      <c r="C2770" t="s">
        <v>597</v>
      </c>
      <c r="D2770" t="s">
        <v>742</v>
      </c>
      <c r="E2770" t="s">
        <v>4294</v>
      </c>
      <c r="F2770">
        <v>624</v>
      </c>
      <c r="G2770">
        <v>222809</v>
      </c>
    </row>
    <row r="2771" spans="1:11" x14ac:dyDescent="0.35">
      <c r="A2771">
        <v>0</v>
      </c>
      <c r="B2771">
        <v>3495</v>
      </c>
      <c r="C2771" t="s">
        <v>602</v>
      </c>
      <c r="D2771" t="s">
        <v>1243</v>
      </c>
      <c r="E2771" t="s">
        <v>4295</v>
      </c>
      <c r="G2771">
        <v>0</v>
      </c>
      <c r="K2771" t="s">
        <v>1312</v>
      </c>
    </row>
    <row r="2772" spans="1:11" x14ac:dyDescent="0.35">
      <c r="A2772">
        <v>103625</v>
      </c>
      <c r="B2772">
        <v>2550</v>
      </c>
      <c r="C2772" t="s">
        <v>597</v>
      </c>
      <c r="D2772" t="s">
        <v>603</v>
      </c>
      <c r="E2772" t="s">
        <v>4296</v>
      </c>
      <c r="F2772">
        <v>615306</v>
      </c>
      <c r="G2772">
        <v>23040</v>
      </c>
    </row>
    <row r="2773" spans="1:11" x14ac:dyDescent="0.35">
      <c r="A2773">
        <v>102449</v>
      </c>
      <c r="B2773">
        <v>2407</v>
      </c>
      <c r="C2773" t="s">
        <v>602</v>
      </c>
      <c r="D2773" t="s">
        <v>603</v>
      </c>
      <c r="E2773" t="s">
        <v>4297</v>
      </c>
      <c r="G2773">
        <v>22703</v>
      </c>
    </row>
    <row r="2774" spans="1:11" x14ac:dyDescent="0.35">
      <c r="A2774">
        <v>102364</v>
      </c>
      <c r="B2774">
        <v>1710</v>
      </c>
      <c r="C2774" t="s">
        <v>597</v>
      </c>
      <c r="D2774" t="s">
        <v>3443</v>
      </c>
      <c r="E2774" t="s">
        <v>4298</v>
      </c>
      <c r="G2774">
        <v>227463</v>
      </c>
    </row>
    <row r="2775" spans="1:11" x14ac:dyDescent="0.35">
      <c r="A2775">
        <v>103370</v>
      </c>
      <c r="B2775">
        <v>1528</v>
      </c>
      <c r="C2775" t="s">
        <v>597</v>
      </c>
      <c r="D2775" t="s">
        <v>1066</v>
      </c>
      <c r="E2775" t="s">
        <v>4299</v>
      </c>
    </row>
    <row r="2776" spans="1:11" x14ac:dyDescent="0.35">
      <c r="A2776">
        <v>101915</v>
      </c>
      <c r="B2776">
        <v>2319</v>
      </c>
      <c r="C2776" t="s">
        <v>597</v>
      </c>
      <c r="D2776" t="s">
        <v>603</v>
      </c>
      <c r="E2776" t="s">
        <v>4300</v>
      </c>
    </row>
    <row r="2777" spans="1:11" x14ac:dyDescent="0.35">
      <c r="A2777">
        <v>103627</v>
      </c>
      <c r="B2777">
        <v>773</v>
      </c>
      <c r="C2777" t="s">
        <v>597</v>
      </c>
      <c r="D2777" t="s">
        <v>742</v>
      </c>
      <c r="E2777" t="s">
        <v>4301</v>
      </c>
      <c r="F2777">
        <v>561</v>
      </c>
      <c r="G2777">
        <v>21108</v>
      </c>
    </row>
    <row r="2778" spans="1:11" x14ac:dyDescent="0.35">
      <c r="A2778">
        <v>103956</v>
      </c>
      <c r="B2778">
        <v>1819</v>
      </c>
      <c r="C2778" t="s">
        <v>597</v>
      </c>
      <c r="D2778" t="s">
        <v>882</v>
      </c>
      <c r="E2778" t="s">
        <v>4302</v>
      </c>
      <c r="G2778">
        <v>225466</v>
      </c>
    </row>
    <row r="2779" spans="1:11" x14ac:dyDescent="0.35">
      <c r="A2779">
        <v>101319</v>
      </c>
      <c r="B2779">
        <v>765</v>
      </c>
      <c r="C2779" t="s">
        <v>597</v>
      </c>
      <c r="D2779" t="s">
        <v>742</v>
      </c>
      <c r="E2779" t="s">
        <v>4303</v>
      </c>
      <c r="F2779">
        <v>578</v>
      </c>
      <c r="G2779">
        <v>905</v>
      </c>
    </row>
    <row r="2780" spans="1:11" x14ac:dyDescent="0.35">
      <c r="A2780">
        <v>103456</v>
      </c>
      <c r="B2780">
        <v>1592</v>
      </c>
      <c r="C2780" t="s">
        <v>597</v>
      </c>
      <c r="D2780" t="s">
        <v>1066</v>
      </c>
      <c r="E2780" t="s">
        <v>4304</v>
      </c>
    </row>
    <row r="2781" spans="1:11" x14ac:dyDescent="0.35">
      <c r="A2781">
        <v>104098</v>
      </c>
      <c r="B2781">
        <v>651</v>
      </c>
      <c r="C2781" t="s">
        <v>597</v>
      </c>
      <c r="D2781" t="s">
        <v>742</v>
      </c>
      <c r="E2781" t="s">
        <v>4305</v>
      </c>
      <c r="F2781">
        <v>205</v>
      </c>
    </row>
    <row r="2782" spans="1:11" x14ac:dyDescent="0.35">
      <c r="A2782">
        <v>103870</v>
      </c>
      <c r="B2782">
        <v>2581</v>
      </c>
      <c r="C2782" t="s">
        <v>597</v>
      </c>
      <c r="D2782" t="s">
        <v>603</v>
      </c>
      <c r="E2782" t="s">
        <v>4306</v>
      </c>
      <c r="G2782">
        <v>217800</v>
      </c>
    </row>
    <row r="2783" spans="1:11" x14ac:dyDescent="0.35">
      <c r="A2783">
        <v>102558</v>
      </c>
      <c r="B2783">
        <v>2424</v>
      </c>
      <c r="C2783" t="s">
        <v>602</v>
      </c>
      <c r="D2783" t="s">
        <v>603</v>
      </c>
      <c r="E2783" t="s">
        <v>391</v>
      </c>
      <c r="G2783">
        <v>220086</v>
      </c>
    </row>
    <row r="2784" spans="1:11" x14ac:dyDescent="0.35">
      <c r="A2784">
        <v>101668</v>
      </c>
      <c r="B2784">
        <v>1302</v>
      </c>
      <c r="C2784" t="s">
        <v>597</v>
      </c>
      <c r="D2784" t="s">
        <v>3417</v>
      </c>
      <c r="E2784" t="s">
        <v>4307</v>
      </c>
      <c r="G2784">
        <v>3353</v>
      </c>
    </row>
    <row r="2785" spans="1:7" x14ac:dyDescent="0.35">
      <c r="A2785">
        <v>104292</v>
      </c>
      <c r="B2785">
        <v>2638</v>
      </c>
      <c r="C2785" t="s">
        <v>602</v>
      </c>
      <c r="D2785" t="s">
        <v>603</v>
      </c>
      <c r="E2785" t="s">
        <v>4308</v>
      </c>
      <c r="G2785">
        <v>221323</v>
      </c>
    </row>
    <row r="2786" spans="1:7" x14ac:dyDescent="0.35">
      <c r="A2786">
        <v>102702</v>
      </c>
      <c r="B2786">
        <v>2446</v>
      </c>
      <c r="C2786" t="s">
        <v>597</v>
      </c>
      <c r="D2786" t="s">
        <v>603</v>
      </c>
      <c r="E2786" t="s">
        <v>4309</v>
      </c>
      <c r="G2786">
        <v>1084</v>
      </c>
    </row>
    <row r="2787" spans="1:7" x14ac:dyDescent="0.35">
      <c r="A2787">
        <v>103915</v>
      </c>
      <c r="B2787">
        <v>1782</v>
      </c>
      <c r="C2787" t="s">
        <v>602</v>
      </c>
      <c r="D2787" t="s">
        <v>882</v>
      </c>
      <c r="E2787" t="s">
        <v>4310</v>
      </c>
      <c r="G2787">
        <v>225366</v>
      </c>
    </row>
    <row r="2788" spans="1:7" x14ac:dyDescent="0.35">
      <c r="A2788">
        <v>104055</v>
      </c>
      <c r="B2788">
        <v>766</v>
      </c>
      <c r="C2788" t="s">
        <v>597</v>
      </c>
      <c r="D2788" t="s">
        <v>742</v>
      </c>
      <c r="E2788" t="s">
        <v>4311</v>
      </c>
      <c r="F2788">
        <v>158</v>
      </c>
      <c r="G2788">
        <v>1508</v>
      </c>
    </row>
    <row r="2789" spans="1:7" x14ac:dyDescent="0.35">
      <c r="A2789">
        <v>102354</v>
      </c>
      <c r="B2789">
        <v>2393</v>
      </c>
      <c r="C2789" t="s">
        <v>602</v>
      </c>
      <c r="D2789" t="s">
        <v>603</v>
      </c>
      <c r="E2789" t="s">
        <v>302</v>
      </c>
      <c r="G2789">
        <v>540</v>
      </c>
    </row>
    <row r="2790" spans="1:7" x14ac:dyDescent="0.35">
      <c r="A2790">
        <v>104220</v>
      </c>
      <c r="B2790">
        <v>2621</v>
      </c>
      <c r="C2790" t="s">
        <v>597</v>
      </c>
      <c r="D2790" t="s">
        <v>603</v>
      </c>
      <c r="E2790" t="s">
        <v>4312</v>
      </c>
      <c r="F2790">
        <v>615313</v>
      </c>
      <c r="G2790">
        <v>227216</v>
      </c>
    </row>
    <row r="2791" spans="1:7" x14ac:dyDescent="0.35">
      <c r="A2791">
        <v>101891</v>
      </c>
      <c r="B2791">
        <v>2312</v>
      </c>
      <c r="C2791" t="s">
        <v>602</v>
      </c>
      <c r="D2791" t="s">
        <v>603</v>
      </c>
      <c r="E2791" t="s">
        <v>193</v>
      </c>
      <c r="G2791">
        <v>220264</v>
      </c>
    </row>
    <row r="2792" spans="1:7" x14ac:dyDescent="0.35">
      <c r="A2792">
        <v>101978</v>
      </c>
      <c r="B2792">
        <v>2037</v>
      </c>
      <c r="C2792" t="s">
        <v>597</v>
      </c>
      <c r="D2792" t="s">
        <v>598</v>
      </c>
      <c r="E2792" t="s">
        <v>4313</v>
      </c>
      <c r="G2792">
        <v>220244</v>
      </c>
    </row>
    <row r="2793" spans="1:7" x14ac:dyDescent="0.35">
      <c r="A2793">
        <v>102353</v>
      </c>
      <c r="B2793">
        <v>2392</v>
      </c>
      <c r="C2793" t="s">
        <v>602</v>
      </c>
      <c r="D2793" t="s">
        <v>603</v>
      </c>
      <c r="E2793" t="s">
        <v>298</v>
      </c>
      <c r="G2793">
        <v>220597</v>
      </c>
    </row>
    <row r="2794" spans="1:7" x14ac:dyDescent="0.35">
      <c r="A2794">
        <v>104238</v>
      </c>
      <c r="B2794">
        <v>2625</v>
      </c>
      <c r="C2794" t="s">
        <v>602</v>
      </c>
      <c r="D2794" t="s">
        <v>603</v>
      </c>
      <c r="E2794" t="s">
        <v>4314</v>
      </c>
      <c r="G2794">
        <v>1753</v>
      </c>
    </row>
    <row r="2795" spans="1:7" x14ac:dyDescent="0.35">
      <c r="A2795">
        <v>102473</v>
      </c>
      <c r="B2795">
        <v>2411</v>
      </c>
      <c r="C2795" t="s">
        <v>602</v>
      </c>
      <c r="D2795" t="s">
        <v>603</v>
      </c>
      <c r="E2795" t="s">
        <v>485</v>
      </c>
      <c r="G2795">
        <v>1665</v>
      </c>
    </row>
    <row r="2796" spans="1:7" x14ac:dyDescent="0.35">
      <c r="A2796">
        <v>103616</v>
      </c>
      <c r="B2796">
        <v>748</v>
      </c>
      <c r="C2796" t="s">
        <v>597</v>
      </c>
      <c r="D2796" t="s">
        <v>742</v>
      </c>
      <c r="E2796" t="s">
        <v>4315</v>
      </c>
      <c r="F2796">
        <v>419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rollout</vt:lpstr>
      <vt:lpstr>USG1000_alt</vt:lpstr>
      <vt:lpstr>USG1000_neu</vt:lpstr>
      <vt:lpstr>VpnConnections_Ipam_20261007_10</vt:lpstr>
      <vt:lpstr>netbox_sites_20261007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Heer</dc:creator>
  <cp:lastModifiedBy>Colin Heer</cp:lastModifiedBy>
  <dcterms:created xsi:type="dcterms:W3CDTF">2026-10-07T12:03:50Z</dcterms:created>
  <dcterms:modified xsi:type="dcterms:W3CDTF">2026-10-19T10:42:10Z</dcterms:modified>
</cp:coreProperties>
</file>